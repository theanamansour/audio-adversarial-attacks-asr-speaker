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Theana Mansour\Desktop\PROJECT 490\testing_attacks phase 2\"/>
    </mc:Choice>
  </mc:AlternateContent>
  <xr:revisionPtr revIDLastSave="0" documentId="13_ncr:1_{AF00A2E5-0CB9-4A26-A9E3-C8261B584E8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3" i="1" l="1"/>
  <c r="P13" i="1"/>
  <c r="O13" i="1"/>
  <c r="N13" i="1"/>
  <c r="M13" i="1"/>
  <c r="L13" i="1" l="1"/>
  <c r="N4" i="1"/>
  <c r="N3" i="1"/>
  <c r="Q7" i="1"/>
  <c r="Q6" i="1"/>
  <c r="Q5" i="1"/>
  <c r="Q4" i="1"/>
  <c r="Q3" i="1"/>
  <c r="Q8" i="1"/>
  <c r="P8" i="1"/>
  <c r="P7" i="1"/>
  <c r="P6" i="1"/>
  <c r="P5" i="1"/>
  <c r="P4" i="1"/>
  <c r="P3" i="1"/>
  <c r="O8" i="1"/>
  <c r="O7" i="1"/>
  <c r="O6" i="1"/>
  <c r="O5" i="1"/>
  <c r="O4" i="1"/>
  <c r="O3" i="1"/>
  <c r="M3" i="1"/>
  <c r="N8" i="1"/>
  <c r="N7" i="1"/>
  <c r="N6" i="1"/>
  <c r="N5" i="1"/>
  <c r="L3" i="1"/>
  <c r="L9" i="1" s="1"/>
  <c r="M8" i="1"/>
  <c r="M7" i="1"/>
  <c r="M6" i="1"/>
  <c r="M4" i="1"/>
  <c r="M5" i="1"/>
  <c r="L8" i="1"/>
  <c r="K8" i="1"/>
  <c r="L7" i="1"/>
  <c r="L6" i="1"/>
  <c r="L5" i="1"/>
  <c r="L4" i="1"/>
</calcChain>
</file>

<file path=xl/sharedStrings.xml><?xml version="1.0" encoding="utf-8"?>
<sst xmlns="http://schemas.openxmlformats.org/spreadsheetml/2006/main" count="1229" uniqueCount="306">
  <si>
    <t>file name</t>
  </si>
  <si>
    <t>type of attack</t>
  </si>
  <si>
    <t>true text</t>
  </si>
  <si>
    <t>clean transcript</t>
  </si>
  <si>
    <t>attacked transcript</t>
  </si>
  <si>
    <t>wer true vs clean</t>
  </si>
  <si>
    <t>wer true vs attack</t>
  </si>
  <si>
    <t>wer attack vs clean</t>
  </si>
  <si>
    <t>SNR (dB)</t>
  </si>
  <si>
    <t>sample-000000.wav</t>
  </si>
  <si>
    <t>white_noise</t>
  </si>
  <si>
    <t>be careful with your prognostications said the stranger</t>
  </si>
  <si>
    <t>be careful with your prognostications, set the stranger.</t>
  </si>
  <si>
    <t>single_sine_wave</t>
  </si>
  <si>
    <t>be careful with your problems, the patients, set the stranger.</t>
  </si>
  <si>
    <t>chirp</t>
  </si>
  <si>
    <t>be careful with your prohonstications. send a stranger.</t>
  </si>
  <si>
    <t>glitch</t>
  </si>
  <si>
    <t>be careful with your problems with the cations, set the stranger.</t>
  </si>
  <si>
    <t>overlap_sine_wave</t>
  </si>
  <si>
    <t>you can't hold your problems with the patients. so, let's try and do.</t>
  </si>
  <si>
    <t>sample-000001.wav</t>
  </si>
  <si>
    <t>then why should they be surprised when they see one</t>
  </si>
  <si>
    <t>then why should they be surprised when they see one?</t>
  </si>
  <si>
    <t>then, why should they be surprised when they see one?</t>
  </si>
  <si>
    <t>then, why should they be surprised when the sea one?</t>
  </si>
  <si>
    <t>then why should david's surprise release one?</t>
  </si>
  <si>
    <t>then fly should be surprised when the sea burn.</t>
  </si>
  <si>
    <t>sample-000002.wav</t>
  </si>
  <si>
    <t>a young arab also loaded down with baggage entered and greeted the englishman</t>
  </si>
  <si>
    <t>a young arab also allowed the time with package ended and greeted the englishman.</t>
  </si>
  <si>
    <t>young arab, also i like the time package and the angry thing is when</t>
  </si>
  <si>
    <t>young up, also i like the time with package, and it, and great thing is, man.</t>
  </si>
  <si>
    <t>a young arab also loaded down with package and it and waited thingishman.</t>
  </si>
  <si>
    <t>young arab also like the time of package and the and great things would be</t>
  </si>
  <si>
    <t>sample-000003.wav</t>
  </si>
  <si>
    <t>i thought that everything i owned would be destroyed</t>
  </si>
  <si>
    <t>i felt that everything i owned would be destroyed.</t>
  </si>
  <si>
    <t>i said that everything i own would be destroyed.</t>
  </si>
  <si>
    <t>i said that everything i would be destroyed.</t>
  </si>
  <si>
    <t>sample-000004.wav</t>
  </si>
  <si>
    <t>he moved about invisible but everyone could hear him</t>
  </si>
  <si>
    <t>he moved about invisible but everyone could hear him.</t>
  </si>
  <si>
    <t>he moved about in visible but everyone could hear him.</t>
  </si>
  <si>
    <t>he moved about and visible but everyone could hear him.</t>
  </si>
  <si>
    <t>he moved about and physical with everyone to tear him.</t>
  </si>
  <si>
    <t>sample-000005.wav</t>
  </si>
  <si>
    <t>but everything had changed</t>
  </si>
  <si>
    <t>but everything had changed.</t>
  </si>
  <si>
    <t>but other things have changed.</t>
  </si>
  <si>
    <t>but everything has changed.</t>
  </si>
  <si>
    <t>sample-000006.wav</t>
  </si>
  <si>
    <t>are you sure this is claire</t>
  </si>
  <si>
    <t>are you sure this is clear?</t>
  </si>
  <si>
    <t>i need your hand</t>
  </si>
  <si>
    <t>i give sure this is clear</t>
  </si>
  <si>
    <t>sample-000007.wav</t>
  </si>
  <si>
    <t>it had told him to dig where his tears fell</t>
  </si>
  <si>
    <t>it had told him to dig where his tears fell.</t>
  </si>
  <si>
    <t>thank you very much, and today is a time to take questions about</t>
  </si>
  <si>
    <t>sample-000008.wav</t>
  </si>
  <si>
    <t>the shop folks were taking down their shutters and people were opening their bedroom windows</t>
  </si>
  <si>
    <t>the shop folks were taking down their shutters and people were opening their bedroom windows.</t>
  </si>
  <si>
    <t>the chef cooks for taking down their shadows and people that open their bedroom windows.</t>
  </si>
  <si>
    <t>sample-000009.wav</t>
  </si>
  <si>
    <t>the teacher thought that he'd taught himself all he could</t>
  </si>
  <si>
    <t>the detail taught that he taught himself all he could.</t>
  </si>
  <si>
    <t>this is the first time i've seen this before this is the first time i've seen this before</t>
  </si>
  <si>
    <t>the data taught that he taught himself all his own.</t>
  </si>
  <si>
    <t>we date a girl to meet prim czÄ™seher franchises!</t>
  </si>
  <si>
    <t>the detail taught that hit taught himself all he could.</t>
  </si>
  <si>
    <t>sample-000010.wav</t>
  </si>
  <si>
    <t>the boy stepped closer to the girl and when she smiled he did the same</t>
  </si>
  <si>
    <t>the boy stood closer to the girl and when she smiled he did the same.</t>
  </si>
  <si>
    <t>the boy stood closer to the girl, and she smiled at the same.</t>
  </si>
  <si>
    <t>the voice that caused her to grow when she smiled, he did the same.</t>
  </si>
  <si>
    <t>the voice that closer to the girl and she smiled he did the same.</t>
  </si>
  <si>
    <t>the voice that closer to the girl, how she smiles in the voice.</t>
  </si>
  <si>
    <t>sample-000011.wav</t>
  </si>
  <si>
    <t>you haven't seen anything yet</t>
  </si>
  <si>
    <t>you haven't seen anything yet.</t>
  </si>
  <si>
    <t>sample-000012.wav</t>
  </si>
  <si>
    <t>but i found it difficult to get to work because of the investigations</t>
  </si>
  <si>
    <t>but i found it difficult to get to work because of the investigations.</t>
  </si>
  <si>
    <t>but i found it difficult to adapt to what, because of the investitions.</t>
  </si>
  <si>
    <t>i found it difficult to duck to watch because it is in best stations.</t>
  </si>
  <si>
    <t>i found it difficult to get to work because of the investigations.</t>
  </si>
  <si>
    <t>and because theamed hand has a reason to assume that the deber todaselimirin</t>
  </si>
  <si>
    <t>sample-000013.wav</t>
  </si>
  <si>
    <t>in those days very few of the people had any idea about astronomy</t>
  </si>
  <si>
    <t>in those days, very few of the people had any idea about astronomy.</t>
  </si>
  <si>
    <t>in those days very few of the people had any idea about astronomy.</t>
  </si>
  <si>
    <t>there's this very few people in the universe from me.</t>
  </si>
  <si>
    <t>sample-000014.wav</t>
  </si>
  <si>
    <t>when i'm eating that's all i think about</t>
  </si>
  <si>
    <t>when i'm eating, that's all i think about.</t>
  </si>
  <si>
    <t>when i'm eating, that's what i think about you.</t>
  </si>
  <si>
    <t>sample-000015.wav</t>
  </si>
  <si>
    <t>got anything new on the hanging</t>
  </si>
  <si>
    <t>got anything new on the hanging?</t>
  </si>
  <si>
    <t>à¸ots &amp; nothing you areã‚ŠÛwriting</t>
  </si>
  <si>
    <t>got anything you want me hanging?</t>
  </si>
  <si>
    <t>ã”è¦–è´ã‚ã‚ŠãŒã¨ã†ã”ã–ã„ã¾ã—ãŸ</t>
  </si>
  <si>
    <t>sample-000016.wav</t>
  </si>
  <si>
    <t>is that what you want me to tell vincent</t>
  </si>
  <si>
    <t>is that what you want? we detail vincent?</t>
  </si>
  <si>
    <t>is there anyone related to openlehmson?</t>
  </si>
  <si>
    <t>is there a good one? maybe 12 vincent?</t>
  </si>
  <si>
    <t>is there anyone we can tell vincent?</t>
  </si>
  <si>
    <t>sample-000017.wav</t>
  </si>
  <si>
    <t>one of us is going to jail</t>
  </si>
  <si>
    <t>what a vass is going to jail.</t>
  </si>
  <si>
    <t>one of us is going to jail.</t>
  </si>
  <si>
    <t>æ¯ æ€’ã‚Œ çš† prep feelingsä½œæ›²ã‚’ ÙˆæŒ¯ã‚Šè¿”ã—owÄ…çŸ¥ã£ãŸè¦‹ã‚Œå‹‡ã«ãªã‚Šå‹•ãæ­Œã‚’è¨ªã‚ŒãŸè«‡ã®é•ã„ã®æ–¹ãŒç§»å…¥ã‚ŒæŠ€é‹éšŠã‚’å…ƒeon</t>
  </si>
  <si>
    <t>sample-000018.wav</t>
  </si>
  <si>
    <t>to nourish the falcon</t>
  </si>
  <si>
    <t>to nourish the falcon.</t>
  </si>
  <si>
    <t>very harsh to franken</t>
  </si>
  <si>
    <t>to nourish theÄ±ndaki</t>
  </si>
  <si>
    <t>gonna hear itorder for a second.</t>
  </si>
  <si>
    <t>sample-000019.wav</t>
  </si>
  <si>
    <t>this convention's gonna cost plenty</t>
  </si>
  <si>
    <t>those convention's gonna cause plenty.</t>
  </si>
  <si>
    <t>but when civilization is going to cause blacken</t>
  </si>
  <si>
    <t>just a fortune spilling car!</t>
  </si>
  <si>
    <t>yo, what's your convention? let's go on the course planning.</t>
  </si>
  <si>
    <t>question....</t>
  </si>
  <si>
    <t>sample-000020.wav</t>
  </si>
  <si>
    <t>coming home a party of tourists passed us singing and playing music</t>
  </si>
  <si>
    <t>coming home, a part of tourist pastus singing and playing music.</t>
  </si>
  <si>
    <t>coming home, a part of terrorists passed us singing and playing music.</t>
  </si>
  <si>
    <t>coming home, a part of tourist past us singing and playing music.</t>
  </si>
  <si>
    <t>coming home, a part of tourists pass us singing playing music.</t>
  </si>
  <si>
    <t>coming along with positive to ringing the transparent music</t>
  </si>
  <si>
    <t>sample-000021.wav</t>
  </si>
  <si>
    <t>next install an extension that makes it possible to add custom python commands</t>
  </si>
  <si>
    <t>next, install an extension that makes it possible to add custom python commands.</t>
  </si>
  <si>
    <t>next, install extension that makes it possible to add custom python commands.</t>
  </si>
  <si>
    <t>next, install extension that makes it possible to add custom points and commands.</t>
  </si>
  <si>
    <t>one twofour</t>
  </si>
  <si>
    <t>sample-000022.wav</t>
  </si>
  <si>
    <t>the boy had met the alchemist</t>
  </si>
  <si>
    <t>the boy had met the alchemist.</t>
  </si>
  <si>
    <t>the boy have met the alchemist.</t>
  </si>
  <si>
    <t>the boy cabinet, the alchemist</t>
  </si>
  <si>
    <t>people we have met the oculus.</t>
  </si>
  <si>
    <t>sample-000023.wav</t>
  </si>
  <si>
    <t>it was starlight and i explained the signs of the zodiac to her</t>
  </si>
  <si>
    <t>it was starlight and explained the signs of the zodiac to her.</t>
  </si>
  <si>
    <t>it was starting late and explained the signs of the zodiac to her.</t>
  </si>
  <si>
    <t>sample-000024.wav</t>
  </si>
  <si>
    <t>so you won't blame her</t>
  </si>
  <si>
    <t>though you won't blame her.</t>
  </si>
  <si>
    <t>so you won't play more.</t>
  </si>
  <si>
    <t>so you won't blame for it.</t>
  </si>
  <si>
    <t>this is the wrong plan for us.</t>
  </si>
  <si>
    <t>sample-000025.wav</t>
  </si>
  <si>
    <t>but that's why you created the game in the first place the boy answered</t>
  </si>
  <si>
    <t>but that's why you created the game in the first place, the boy answered.</t>
  </si>
  <si>
    <t>but that's why you create the game in the first place in the boy hands of the...</t>
  </si>
  <si>
    <t>but that's why you created the game in the first place the boy answered it.</t>
  </si>
  <si>
    <t>but that's why you create the game in the first place, the boy answer.</t>
  </si>
  <si>
    <t>if not, why you created the game in the first place in my hands?</t>
  </si>
  <si>
    <t>sample-000026.wav</t>
  </si>
  <si>
    <t>don't say that again</t>
  </si>
  <si>
    <t>don't say that again.</t>
  </si>
  <si>
    <t>don't see that again.</t>
  </si>
  <si>
    <t>sample-000027.wav</t>
  </si>
  <si>
    <t>he had seen the shooting star and was persuaded that a meteorite lay somewhere nearby</t>
  </si>
  <si>
    <t>he had seen this shooting star and was persuaded that the meteorite lay somewhere nearby.</t>
  </si>
  <si>
    <t>he had seen the shooting star and was persuaded that the meteorite lay somewhere nearby.</t>
  </si>
  <si>
    <t>he had seen this shooting star and was pressurated that immediately right lay somewhere nearby.</t>
  </si>
  <si>
    <t>here it's seen this shooting star and was persuaded that the meteorite lays somewhere nearby.</t>
  </si>
  <si>
    <t>yet seeing the shooting star was calculated that the meteorite lies somewhere nearby.</t>
  </si>
  <si>
    <t>sample-000028.wav</t>
  </si>
  <si>
    <t>it turned out to be a bitter tea</t>
  </si>
  <si>
    <t>it turned out to be a bitter tea.</t>
  </si>
  <si>
    <t>you turn out to be a bitter tea.</t>
  </si>
  <si>
    <t>the turn out to be a bitter tea</t>
  </si>
  <si>
    <t>deserves some time to be a bit tipsy</t>
  </si>
  <si>
    <t>sample-000029.wav</t>
  </si>
  <si>
    <t>are you gonna throw a rock</t>
  </si>
  <si>
    <t>you're gonna throw a rock.</t>
  </si>
  <si>
    <t>we're gonna show a rock.</t>
  </si>
  <si>
    <t>sample-000030.wav</t>
  </si>
  <si>
    <t>among these people were a couple of cyclists a gardener i employed sometimes and a girl carrying a baby</t>
  </si>
  <si>
    <t>among these people were a couple of cyclists, a guardmer, a guy, and a boy at some time. and a girl carrying a baby.</t>
  </si>
  <si>
    <t>i'm going to use this as a button for the safety of the driver. i'm going to use this as a button for the safety of the driver.</t>
  </si>
  <si>
    <t>among these people were a couple of cyclists, a guardman, a spy, and a freud sometime. and a girl carrying a baby.</t>
  </si>
  <si>
    <t>all these people are a couple of scientists, a programmer, a scientist and a blind sometimes. and the girls carrying a baby.</t>
  </si>
  <si>
    <t>among these people were a couple of cyclists, a gardener, a fine, and a loyal stunt gun. and a girl carrying a baby.</t>
  </si>
  <si>
    <t>but moving, tort aspects and facts outside of thoughts, on time and signs and drawings, sometimes and ignoring feeling thoughts.</t>
  </si>
  <si>
    <t>sample-000031.wav</t>
  </si>
  <si>
    <t>my tax dollars pay for those public school proms</t>
  </si>
  <si>
    <t>might text dollars pay for those public school prompts.</t>
  </si>
  <si>
    <t>mike tech starlers pay for those public school problems.</t>
  </si>
  <si>
    <t>mike text dollars pay for those public school plans.</t>
  </si>
  <si>
    <t>mike, to the text policy service tÃ­tulo public school problems.</t>
  </si>
  <si>
    <t>life traversed at only care for the life of future loved ones...</t>
  </si>
  <si>
    <t>sample-000032.wav</t>
  </si>
  <si>
    <t>they looked for the fallen mass but found nothing</t>
  </si>
  <si>
    <t>they look for the fallen mouse but found nothing.</t>
  </si>
  <si>
    <t>they look for the following man, i'll split down nothing.</t>
  </si>
  <si>
    <t>they look for the fall on my ass but found nothing.</t>
  </si>
  <si>
    <t>sample-000033.wav</t>
  </si>
  <si>
    <t>i was just in town earlier this year so it is kind of crazy to think about what took place right after</t>
  </si>
  <si>
    <t>i was just in town earlier this year, so it is kind of crazy to think about what took place right after.</t>
  </si>
  <si>
    <t>i was just in town earlier this year so it is kind of crazy to think about what took place right after.</t>
  </si>
  <si>
    <t>i'm your jason job. oh, you're here. she always kind of plays you with the ball. what take place? well, that's good.</t>
  </si>
  <si>
    <t>sample-000034.wav</t>
  </si>
  <si>
    <t>i want to see that map covered before we get through</t>
  </si>
  <si>
    <t>i want to see that map covered before we get through.</t>
  </si>
  <si>
    <t>i want to see that map cover before we get through.</t>
  </si>
  <si>
    <t>sample-000035.wav</t>
  </si>
  <si>
    <t>it made me very depressed</t>
  </si>
  <si>
    <t>it made me very depressed.</t>
  </si>
  <si>
    <t>it makes me very depressed.</t>
  </si>
  <si>
    <t>sample-000036.wav</t>
  </si>
  <si>
    <t>its important to keep an open mind and she has urged me to do the same</t>
  </si>
  <si>
    <t>it's important to keep an open mind and he has urged me to do the same.</t>
  </si>
  <si>
    <t>it's important to keep an open mind that he has urged me to do the same.</t>
  </si>
  <si>
    <t>it's important to keep an open mind as you have urged me to do the same.</t>
  </si>
  <si>
    <t>sample-000037.wav</t>
  </si>
  <si>
    <t>mine's in the door</t>
  </si>
  <si>
    <t>minds in the door.</t>
  </si>
  <si>
    <t>minds in the door</t>
  </si>
  <si>
    <t>sample-000038.wav</t>
  </si>
  <si>
    <t>from this perspective you can see the concentric circles</t>
  </si>
  <si>
    <t>from this perspective, you can see the concentric circles.</t>
  </si>
  <si>
    <t>from this perspective you can see the concentric circles.</t>
  </si>
  <si>
    <t>sample-000039.wav</t>
  </si>
  <si>
    <t>he must be disguised to avoid encounters with thieves</t>
  </si>
  <si>
    <t>he must be these guys for a weight encounter with his.</t>
  </si>
  <si>
    <t>we go through a demors with these gags for conflict with her.</t>
  </si>
  <si>
    <t>you must be this dance for a void in contrast with this.</t>
  </si>
  <si>
    <t>you must be this guy's for a wedding in contrast with kifs.</t>
  </si>
  <si>
    <t>you must be this guy's forever in contact with f's.</t>
  </si>
  <si>
    <t>sample-000040.wav</t>
  </si>
  <si>
    <t>ogilvy watched till one and then gave up</t>
  </si>
  <si>
    <t>ogle the watch to 1 and then gave up.</t>
  </si>
  <si>
    <t>ogle the watch to one and then gave up.</t>
  </si>
  <si>
    <t>the logotomorrowhack101, and approval</t>
  </si>
  <si>
    <t>let's go! let's go! let's go! let's go!</t>
  </si>
  <si>
    <t>i'll go and watch to one and then give up.</t>
  </si>
  <si>
    <t>sample-000041.wav</t>
  </si>
  <si>
    <t>i don't know where to go</t>
  </si>
  <si>
    <t>i don't know where to go.</t>
  </si>
  <si>
    <t>sample-000042.wav</t>
  </si>
  <si>
    <t>his speech ended in standing ovations</t>
  </si>
  <si>
    <t>his speech ended in standing ovation.</t>
  </si>
  <si>
    <t>his speech ended in standing observation</t>
  </si>
  <si>
    <t>this speech ended in standing ovation.</t>
  </si>
  <si>
    <t>being greeted, while every indirect-ready people objected along ordinary communities each official facebook posts all unneeded to provide the exceptional updates on their populations.</t>
  </si>
  <si>
    <t>sample-000043.wav</t>
  </si>
  <si>
    <t>in a way so am i he said</t>
  </si>
  <si>
    <t>in a way, so my he said.</t>
  </si>
  <si>
    <t>in a way, so am i, he said.</t>
  </si>
  <si>
    <t>in a way, so like he said.</t>
  </si>
  <si>
    <t>anyway summer rudy</t>
  </si>
  <si>
    <t>sample-000044.wav</t>
  </si>
  <si>
    <t>when the sun sets the men will once again surrender their arms to me</t>
  </si>
  <si>
    <t>ellow tournament with control green conscious command communication, i.e. responding us all the next questions that we are figuring out what all rights and provisions travel around us for allÐ°Ñ‚Ð° union, va disk and kalashmagan dharma scan saidÑ‚ kulknow we need the bill for the rest hundred minutes we're a veryåœŸ</t>
  </si>
  <si>
    <t>windows 1-6, the man will once again surrender to your arms experimental</t>
  </si>
  <si>
    <t>raining</t>
  </si>
  <si>
    <t>when the sun sets, the man will once again send a drumstick to me.</t>
  </si>
  <si>
    <t>the link is on 6th and the 9th. the link is on 7th and 7th. the link is on 7th.</t>
  </si>
  <si>
    <t>sample-000045.wav</t>
  </si>
  <si>
    <t>i was scared but wasted no time in going out and crossing the bridge to the sand pits</t>
  </si>
  <si>
    <t>i was scared that wasted no time in going out and crossing the bridge to the sand pit.</t>
  </si>
  <si>
    <t>i was scared that at least it's no time in going out and crossing the bridge to the sand pit.</t>
  </si>
  <si>
    <t>i was scared that at least it's no time in going out and crossing the bridge to the sand page.</t>
  </si>
  <si>
    <t>i was scared but wasted no time in going out and crossing the bridge to the sand.</t>
  </si>
  <si>
    <t>i was scared that at least at no time going out is crossing the bridge to the scene.</t>
  </si>
  <si>
    <t>sample-000046.wav</t>
  </si>
  <si>
    <t>we must be good</t>
  </si>
  <si>
    <t>we must be good.</t>
  </si>
  <si>
    <t>must be good.</t>
  </si>
  <si>
    <t>sample-000047.wav</t>
  </si>
  <si>
    <t>he almost began to tell about his treasure but decided not to do so</t>
  </si>
  <si>
    <t>he almost began to tell about his pressure but decided not to do so.</t>
  </si>
  <si>
    <t>the oil must begin to tell about this pressure of the sighted not to do so.</t>
  </si>
  <si>
    <t>the world has begun to tell about this threshold, but decided not to lose.</t>
  </si>
  <si>
    <t>sample-000048.wav</t>
  </si>
  <si>
    <t>not even the tribal chieftains are able to see him when they want to</t>
  </si>
  <si>
    <t>not even the tribal chiefs are able to see him when they want to.</t>
  </si>
  <si>
    <t>but even the tribal chiefs are able to see him when they want to.</t>
  </si>
  <si>
    <t>and even the tribal chiefs are able to see him when they want to.</t>
  </si>
  <si>
    <t>not even the tribal chiefs are able to see him and they want to.</t>
  </si>
  <si>
    <t>and even to try the things, i am able to see it when they work.</t>
  </si>
  <si>
    <t>sample-000049.wav</t>
  </si>
  <si>
    <t>why didn't you tell me</t>
  </si>
  <si>
    <t>i didn't tell me.</t>
  </si>
  <si>
    <t>i didn't tell you to tell me.</t>
  </si>
  <si>
    <t>or didn't you tell me?</t>
  </si>
  <si>
    <t>why didn't you tell me?</t>
  </si>
  <si>
    <t>i didn't get to tell you.</t>
  </si>
  <si>
    <t>Statistics</t>
  </si>
  <si>
    <t>TOTAL</t>
  </si>
  <si>
    <t>&gt;=1</t>
  </si>
  <si>
    <t>&gt;=0.8</t>
  </si>
  <si>
    <t>&gt;=0.6</t>
  </si>
  <si>
    <t>&gt;=0.4</t>
  </si>
  <si>
    <t>&gt;0</t>
  </si>
  <si>
    <t>(50 recordings + 5 attacks each -&gt; correct)</t>
  </si>
  <si>
    <t>SNR Statistics</t>
  </si>
  <si>
    <t>SNR average per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</si>
</sst>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topLeftCell="I10" zoomScale="84" zoomScaleNormal="51" workbookViewId="0">
      <selection activeCell="T13" sqref="T13"/>
    </sheetView>
  </sheetViews>
  <sheetFormatPr defaultRowHeight="14.5" x14ac:dyDescent="0.35"/>
  <cols>
    <col min="1" max="1" width="17.54296875" style="4" bestFit="1" customWidth="1"/>
    <col min="2" max="2" width="17" style="2" bestFit="1" customWidth="1"/>
    <col min="3" max="3" width="14.7265625" style="1" customWidth="1"/>
    <col min="4" max="4" width="15.36328125" style="1" customWidth="1"/>
    <col min="5" max="5" width="13.54296875" style="1" customWidth="1"/>
    <col min="6" max="10" width="8.7265625" style="2"/>
    <col min="11" max="11" width="8.26953125" style="2" bestFit="1" customWidth="1"/>
    <col min="12" max="12" width="10.453125" style="2" customWidth="1"/>
    <col min="13" max="13" width="16.36328125" style="2" customWidth="1"/>
    <col min="14" max="14" width="15.54296875" style="2" customWidth="1"/>
    <col min="15" max="15" width="9.7265625" style="2" customWidth="1"/>
    <col min="16" max="16384" width="8.7265625" style="2"/>
  </cols>
  <sheetData>
    <row r="1" spans="1:17" s="3" customFormat="1" ht="46.5" x14ac:dyDescent="0.3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K1" s="13" t="s">
        <v>296</v>
      </c>
      <c r="L1" s="14"/>
      <c r="M1" s="14"/>
      <c r="N1" s="14"/>
      <c r="O1" s="14"/>
      <c r="P1" s="14"/>
      <c r="Q1" s="15"/>
    </row>
    <row r="2" spans="1:17" ht="72.5" x14ac:dyDescent="0.35">
      <c r="A2" s="7" t="s">
        <v>9</v>
      </c>
      <c r="B2" s="8" t="s">
        <v>10</v>
      </c>
      <c r="C2" s="9" t="s">
        <v>11</v>
      </c>
      <c r="D2" s="9" t="s">
        <v>12</v>
      </c>
      <c r="E2" s="9"/>
      <c r="F2" s="8">
        <v>0.375</v>
      </c>
      <c r="G2" s="8">
        <v>1</v>
      </c>
      <c r="H2" s="8">
        <v>1</v>
      </c>
      <c r="I2" s="8">
        <v>-16.242348527002001</v>
      </c>
      <c r="K2" s="7" t="s">
        <v>7</v>
      </c>
      <c r="L2" s="7" t="s">
        <v>297</v>
      </c>
      <c r="M2" s="7" t="s">
        <v>10</v>
      </c>
      <c r="N2" s="4" t="s">
        <v>13</v>
      </c>
      <c r="O2" s="7" t="s">
        <v>15</v>
      </c>
      <c r="P2" s="7" t="s">
        <v>17</v>
      </c>
      <c r="Q2" s="7" t="s">
        <v>19</v>
      </c>
    </row>
    <row r="3" spans="1:17" ht="72.5" x14ac:dyDescent="0.35">
      <c r="A3" s="7" t="s">
        <v>9</v>
      </c>
      <c r="B3" s="8" t="s">
        <v>13</v>
      </c>
      <c r="C3" s="9" t="s">
        <v>11</v>
      </c>
      <c r="D3" s="9" t="s">
        <v>12</v>
      </c>
      <c r="E3" s="9" t="s">
        <v>14</v>
      </c>
      <c r="F3" s="8">
        <v>0.375</v>
      </c>
      <c r="G3" s="8">
        <v>0.625</v>
      </c>
      <c r="H3" s="8">
        <v>0.375</v>
      </c>
      <c r="I3" s="8">
        <v>-12.0045130940682</v>
      </c>
      <c r="K3" s="8" t="s">
        <v>298</v>
      </c>
      <c r="L3" s="8">
        <f>COUNTIF(H:H, "&gt;=1")</f>
        <v>75</v>
      </c>
      <c r="M3" s="8">
        <f>COUNTIFS($H:$H, "&gt;=1", $B:$B, M2)</f>
        <v>50</v>
      </c>
      <c r="N3" s="8">
        <f>COUNTIFS($H:$H, "&gt;=1", $B:$B, N2)</f>
        <v>4</v>
      </c>
      <c r="O3" s="8">
        <f>COUNTIFS($H:$H, "&gt;=1", $B:$B, O2)</f>
        <v>3</v>
      </c>
      <c r="P3" s="8">
        <f>COUNTIFS($H:$H, "&gt;=1", $B:$B, P2)</f>
        <v>3</v>
      </c>
      <c r="Q3" s="8">
        <f>COUNTIFS($H:$H, "&gt;=1", $B:$B, Q2)</f>
        <v>15</v>
      </c>
    </row>
    <row r="4" spans="1:17" ht="72.5" x14ac:dyDescent="0.35">
      <c r="A4" s="7" t="s">
        <v>9</v>
      </c>
      <c r="B4" s="8" t="s">
        <v>15</v>
      </c>
      <c r="C4" s="9" t="s">
        <v>11</v>
      </c>
      <c r="D4" s="9" t="s">
        <v>12</v>
      </c>
      <c r="E4" s="9" t="s">
        <v>16</v>
      </c>
      <c r="F4" s="8">
        <v>0.375</v>
      </c>
      <c r="G4" s="8">
        <v>0.5</v>
      </c>
      <c r="H4" s="8">
        <v>0.375</v>
      </c>
      <c r="I4" s="8">
        <v>-12.0041822947061</v>
      </c>
      <c r="K4" s="8" t="s">
        <v>299</v>
      </c>
      <c r="L4" s="8">
        <f>COUNTIFS($H:$H, "&lt;1", $H:$H, "&gt;=0.8")</f>
        <v>9</v>
      </c>
      <c r="M4" s="8">
        <f>COUNTIFS($H:$H, "&lt;1", $H:$H, "&gt;=0.8", $B:$B, "white_noise")</f>
        <v>0</v>
      </c>
      <c r="N4" s="8">
        <f>COUNTIFS($H:$H, "&lt;1", $H:$H, "&gt;=0.8", $B:$B, N2)</f>
        <v>2</v>
      </c>
      <c r="O4" s="8">
        <f>COUNTIFS($H:$H, "&lt;1", $H:$H, "&gt;=0.8", $B:$B, O2)</f>
        <v>0</v>
      </c>
      <c r="P4" s="8">
        <f>COUNTIFS($H:$H, "&lt;1", $H:$H, "&gt;=0.8", $B:$B, P2)</f>
        <v>2</v>
      </c>
      <c r="Q4" s="8">
        <f>COUNTIFS($H:$H, "&lt;1", $H:$H, "&gt;=0.8", $B:$B, Q2)</f>
        <v>5</v>
      </c>
    </row>
    <row r="5" spans="1:17" ht="72.5" x14ac:dyDescent="0.35">
      <c r="A5" s="7" t="s">
        <v>9</v>
      </c>
      <c r="B5" s="8" t="s">
        <v>17</v>
      </c>
      <c r="C5" s="9" t="s">
        <v>11</v>
      </c>
      <c r="D5" s="9" t="s">
        <v>12</v>
      </c>
      <c r="E5" s="9" t="s">
        <v>18</v>
      </c>
      <c r="F5" s="8">
        <v>0.375</v>
      </c>
      <c r="G5" s="8">
        <v>0.75</v>
      </c>
      <c r="H5" s="8">
        <v>0.5</v>
      </c>
      <c r="I5" s="8">
        <v>-6.3998692516368401</v>
      </c>
      <c r="K5" s="8" t="s">
        <v>300</v>
      </c>
      <c r="L5" s="8">
        <f>COUNTIFS($H:$H, "&lt;0.8", $H:$H, "&gt;=0.6")</f>
        <v>23</v>
      </c>
      <c r="M5" s="8">
        <f>COUNTIFS($H:$H, "&lt;0.8", $H:$H, "&gt;=0.6", $B:$B, "white_noise")</f>
        <v>0</v>
      </c>
      <c r="N5" s="8">
        <f>COUNTIFS($H:$H, "&lt;0.8", $H:$H, "&gt;=0.6", $B:$B, "single_sine_wave")</f>
        <v>3</v>
      </c>
      <c r="O5" s="8">
        <f>COUNTIFS($H:$H, "&lt;0.8", $H:$H, "&gt;=0.6", $B:$B, O2)</f>
        <v>8</v>
      </c>
      <c r="P5" s="8">
        <f>COUNTIFS($H:$H, "&lt;0.8", $H:$H, "&gt;=0.6", $B:$B, P2)</f>
        <v>4</v>
      </c>
      <c r="Q5" s="8">
        <f>COUNTIFS($H:$H, "&lt;0.8", $H:$H, "&gt;=0.6", $B:$B, Q2)</f>
        <v>8</v>
      </c>
    </row>
    <row r="6" spans="1:17" ht="87" x14ac:dyDescent="0.35">
      <c r="A6" s="7" t="s">
        <v>9</v>
      </c>
      <c r="B6" s="8" t="s">
        <v>19</v>
      </c>
      <c r="C6" s="9" t="s">
        <v>11</v>
      </c>
      <c r="D6" s="9" t="s">
        <v>12</v>
      </c>
      <c r="E6" s="9" t="s">
        <v>20</v>
      </c>
      <c r="F6" s="8">
        <v>0.375</v>
      </c>
      <c r="G6" s="8">
        <v>1.375</v>
      </c>
      <c r="H6" s="8">
        <v>1.375</v>
      </c>
      <c r="I6" s="8">
        <v>-12.331111170824601</v>
      </c>
      <c r="K6" s="8" t="s">
        <v>301</v>
      </c>
      <c r="L6" s="8">
        <f>COUNTIFS($H:$H, "&lt;0.6", $H:$H, "&gt;=0.4")</f>
        <v>26</v>
      </c>
      <c r="M6" s="8">
        <f>COUNTIFS($H:$H, "&lt;0.6", $H:$H, "&gt;=0.4", $B:$B, "white_noise")</f>
        <v>0</v>
      </c>
      <c r="N6" s="8">
        <f>COUNTIFS($H:$H, "&lt;0.6", $H:$H, "&gt;=0.4", $B:$B, "single_sine_wave")</f>
        <v>3</v>
      </c>
      <c r="O6" s="8">
        <f>COUNTIFS($H:$H, "&lt;0.6", $H:$H, "&gt;=0.4", $B:$B, O2)</f>
        <v>7</v>
      </c>
      <c r="P6" s="8">
        <f>COUNTIFS($H:$H, "&lt;0.6", $H:$H, "&gt;=0.4", $B:$B, P2)</f>
        <v>7</v>
      </c>
      <c r="Q6" s="8">
        <f>COUNTIFS($H:$H, "&lt;0.6", $H:$H, "&gt;=0.4", $B:$B, Q2)</f>
        <v>9</v>
      </c>
    </row>
    <row r="7" spans="1:17" ht="58" x14ac:dyDescent="0.35">
      <c r="A7" s="7" t="s">
        <v>21</v>
      </c>
      <c r="B7" s="8" t="s">
        <v>10</v>
      </c>
      <c r="C7" s="9" t="s">
        <v>22</v>
      </c>
      <c r="D7" s="9" t="s">
        <v>23</v>
      </c>
      <c r="E7" s="9"/>
      <c r="F7" s="8">
        <v>0.1</v>
      </c>
      <c r="G7" s="8">
        <v>1</v>
      </c>
      <c r="H7" s="8">
        <v>1</v>
      </c>
      <c r="I7" s="8">
        <v>-13.116979345513201</v>
      </c>
      <c r="K7" s="8" t="s">
        <v>302</v>
      </c>
      <c r="L7" s="8">
        <f>COUNTIFS($H:$H, "&lt;0.4", $H:$H, "&gt;0")</f>
        <v>63</v>
      </c>
      <c r="M7" s="8">
        <f>COUNTIFS($H:$H, "&lt;0.4", $H:$H, "&gt;0", $B:$B, "white_noise")</f>
        <v>0</v>
      </c>
      <c r="N7" s="8">
        <f>COUNTIFS($H:$H, "&lt;0.4", $H:$H, "&gt;0", $B:$B, "single_sine_wave")</f>
        <v>19</v>
      </c>
      <c r="O7" s="8">
        <f>COUNTIFS($H:$H, "&lt;0.4", $H:$H, "&gt;0", $B:$B, O2)</f>
        <v>15</v>
      </c>
      <c r="P7" s="8">
        <f>COUNTIFS($H:$H, "&lt;0.4", $H:$H, "&gt;0", $B:$B, P2)</f>
        <v>20</v>
      </c>
      <c r="Q7" s="8">
        <f>COUNTIFS($H:$H, "&lt;0.4", $H:$H, "&gt;0", $B:$B, Q2)</f>
        <v>9</v>
      </c>
    </row>
    <row r="8" spans="1:17" ht="72.5" x14ac:dyDescent="0.35">
      <c r="A8" s="7" t="s">
        <v>21</v>
      </c>
      <c r="B8" s="8" t="s">
        <v>13</v>
      </c>
      <c r="C8" s="9" t="s">
        <v>22</v>
      </c>
      <c r="D8" s="9" t="s">
        <v>23</v>
      </c>
      <c r="E8" s="9" t="s">
        <v>24</v>
      </c>
      <c r="F8" s="8">
        <v>0.1</v>
      </c>
      <c r="G8" s="8">
        <v>0.2</v>
      </c>
      <c r="H8" s="8">
        <v>0.1</v>
      </c>
      <c r="I8" s="8">
        <v>-8.9350265674510503</v>
      </c>
      <c r="K8" s="8">
        <f>0</f>
        <v>0</v>
      </c>
      <c r="L8" s="8">
        <f>COUNTIFS($H:$H, "=0")</f>
        <v>54</v>
      </c>
      <c r="M8" s="8">
        <f>COUNTIFS($H:$H, "=0", $B:$B, "white_noise")</f>
        <v>0</v>
      </c>
      <c r="N8" s="8">
        <f>COUNTIFS($H:$H, "=0", $B:$B, "single_sine_wave")</f>
        <v>19</v>
      </c>
      <c r="O8" s="8">
        <f>COUNTIFS($H:$H, "=0", $B:$B, O2)</f>
        <v>17</v>
      </c>
      <c r="P8" s="8">
        <f>COUNTIFS($H:$H, "=0", $B:$B, P2)</f>
        <v>14</v>
      </c>
      <c r="Q8" s="8">
        <f>COUNTIFS($H:$H, "=0", $B:$B, Q2)</f>
        <v>4</v>
      </c>
    </row>
    <row r="9" spans="1:17" ht="72.5" x14ac:dyDescent="0.35">
      <c r="A9" s="7" t="s">
        <v>21</v>
      </c>
      <c r="B9" s="8" t="s">
        <v>15</v>
      </c>
      <c r="C9" s="9" t="s">
        <v>22</v>
      </c>
      <c r="D9" s="9" t="s">
        <v>23</v>
      </c>
      <c r="E9" s="9" t="s">
        <v>25</v>
      </c>
      <c r="F9" s="8">
        <v>0.1</v>
      </c>
      <c r="G9" s="8">
        <v>0.4</v>
      </c>
      <c r="H9" s="8">
        <v>0.3</v>
      </c>
      <c r="I9" s="8">
        <v>-8.9342827289474496</v>
      </c>
      <c r="L9" s="8">
        <f>SUM(L3:L8)</f>
        <v>250</v>
      </c>
      <c r="M9" s="16" t="s">
        <v>303</v>
      </c>
      <c r="N9" s="17"/>
      <c r="O9" s="17"/>
      <c r="P9" s="17"/>
      <c r="Q9" s="17"/>
    </row>
    <row r="10" spans="1:17" ht="58" x14ac:dyDescent="0.35">
      <c r="A10" s="7" t="s">
        <v>21</v>
      </c>
      <c r="B10" s="8" t="s">
        <v>17</v>
      </c>
      <c r="C10" s="9" t="s">
        <v>22</v>
      </c>
      <c r="D10" s="9" t="s">
        <v>23</v>
      </c>
      <c r="E10" s="9" t="s">
        <v>26</v>
      </c>
      <c r="F10" s="8">
        <v>0.1</v>
      </c>
      <c r="G10" s="8">
        <v>0.7</v>
      </c>
      <c r="H10" s="8">
        <v>0.6</v>
      </c>
      <c r="I10" s="8">
        <v>-3.3287131512071801</v>
      </c>
    </row>
    <row r="11" spans="1:17" ht="58" x14ac:dyDescent="0.35">
      <c r="A11" s="7" t="s">
        <v>21</v>
      </c>
      <c r="B11" s="8" t="s">
        <v>19</v>
      </c>
      <c r="C11" s="9" t="s">
        <v>22</v>
      </c>
      <c r="D11" s="9" t="s">
        <v>23</v>
      </c>
      <c r="E11" s="9" t="s">
        <v>27</v>
      </c>
      <c r="F11" s="8">
        <v>0.1</v>
      </c>
      <c r="G11" s="8">
        <v>0.5</v>
      </c>
      <c r="H11" s="8">
        <v>0.5</v>
      </c>
      <c r="I11" s="8">
        <v>-9.2513191890155504</v>
      </c>
      <c r="K11" s="18" t="s">
        <v>304</v>
      </c>
      <c r="L11" s="18"/>
      <c r="M11" s="18"/>
      <c r="N11" s="18"/>
      <c r="O11" s="18"/>
      <c r="P11" s="18"/>
      <c r="Q11" s="18"/>
    </row>
    <row r="12" spans="1:17" ht="87" x14ac:dyDescent="0.35">
      <c r="A12" s="7" t="s">
        <v>28</v>
      </c>
      <c r="B12" s="8" t="s">
        <v>10</v>
      </c>
      <c r="C12" s="9" t="s">
        <v>29</v>
      </c>
      <c r="D12" s="9" t="s">
        <v>30</v>
      </c>
      <c r="E12" s="9"/>
      <c r="F12" s="8">
        <v>0.46153846153846101</v>
      </c>
      <c r="G12" s="8">
        <v>1</v>
      </c>
      <c r="H12" s="8">
        <v>1</v>
      </c>
      <c r="I12" s="8">
        <v>-14.060655991194</v>
      </c>
      <c r="K12" s="10"/>
      <c r="L12" s="7" t="s">
        <v>297</v>
      </c>
      <c r="M12" s="7" t="s">
        <v>10</v>
      </c>
      <c r="N12" s="4" t="s">
        <v>13</v>
      </c>
      <c r="O12" s="7" t="s">
        <v>15</v>
      </c>
      <c r="P12" s="7" t="s">
        <v>17</v>
      </c>
      <c r="Q12" s="7" t="s">
        <v>19</v>
      </c>
    </row>
    <row r="13" spans="1:17" ht="87" x14ac:dyDescent="0.35">
      <c r="A13" s="7" t="s">
        <v>28</v>
      </c>
      <c r="B13" s="8" t="s">
        <v>13</v>
      </c>
      <c r="C13" s="9" t="s">
        <v>29</v>
      </c>
      <c r="D13" s="9" t="s">
        <v>30</v>
      </c>
      <c r="E13" s="9" t="s">
        <v>31</v>
      </c>
      <c r="F13" s="8">
        <v>0.46153846153846101</v>
      </c>
      <c r="G13" s="8">
        <v>0.92307692307692302</v>
      </c>
      <c r="H13" s="8">
        <v>0.78571428571428503</v>
      </c>
      <c r="I13" s="8">
        <v>-9.8800505904283202</v>
      </c>
      <c r="K13" s="10" t="s">
        <v>305</v>
      </c>
      <c r="L13" s="19">
        <f>SUM(M13:Q13)</f>
        <v>-51.344714773750376</v>
      </c>
      <c r="M13" s="19">
        <f>AVERAGEIF($B:$B, M12, $I:$I)</f>
        <v>-14.690740664816595</v>
      </c>
      <c r="N13" s="19">
        <f>AVERAGEIF($B:$B, N12, $I:$I)</f>
        <v>-10.494098487650469</v>
      </c>
      <c r="O13" s="19">
        <f>AVERAGEIF($B:$B, O12, $I:$I)</f>
        <v>-10.494068506990793</v>
      </c>
      <c r="P13" s="19">
        <f>AVERAGEIF($B:$B, P12, $I:$I)</f>
        <v>-4.8546388179532647</v>
      </c>
      <c r="Q13" s="8">
        <f>AVERAGEIF($B:$B, Q12, $I:$I)</f>
        <v>-10.811168296339256</v>
      </c>
    </row>
    <row r="14" spans="1:17" ht="87" x14ac:dyDescent="0.35">
      <c r="A14" s="7" t="s">
        <v>28</v>
      </c>
      <c r="B14" s="8" t="s">
        <v>15</v>
      </c>
      <c r="C14" s="9" t="s">
        <v>29</v>
      </c>
      <c r="D14" s="9" t="s">
        <v>30</v>
      </c>
      <c r="E14" s="9" t="s">
        <v>32</v>
      </c>
      <c r="F14" s="8">
        <v>0.46153846153846101</v>
      </c>
      <c r="G14" s="8">
        <v>1</v>
      </c>
      <c r="H14" s="8">
        <v>0.78571428571428503</v>
      </c>
      <c r="I14" s="8">
        <v>-9.8806245413904499</v>
      </c>
    </row>
    <row r="15" spans="1:17" ht="87" x14ac:dyDescent="0.35">
      <c r="A15" s="7" t="s">
        <v>28</v>
      </c>
      <c r="B15" s="8" t="s">
        <v>17</v>
      </c>
      <c r="C15" s="9" t="s">
        <v>29</v>
      </c>
      <c r="D15" s="9" t="s">
        <v>30</v>
      </c>
      <c r="E15" s="9" t="s">
        <v>33</v>
      </c>
      <c r="F15" s="8">
        <v>0.46153846153846101</v>
      </c>
      <c r="G15" s="8">
        <v>0.46153846153846101</v>
      </c>
      <c r="H15" s="8">
        <v>0.57142857142857095</v>
      </c>
      <c r="I15" s="8">
        <v>-4.2636087595632901</v>
      </c>
    </row>
    <row r="16" spans="1:17" ht="101.5" x14ac:dyDescent="0.35">
      <c r="A16" s="7" t="s">
        <v>28</v>
      </c>
      <c r="B16" s="8" t="s">
        <v>19</v>
      </c>
      <c r="C16" s="9" t="s">
        <v>29</v>
      </c>
      <c r="D16" s="9" t="s">
        <v>30</v>
      </c>
      <c r="E16" s="9" t="s">
        <v>34</v>
      </c>
      <c r="F16" s="8">
        <v>0.46153846153846101</v>
      </c>
      <c r="G16" s="8">
        <v>0.92307692307692302</v>
      </c>
      <c r="H16" s="8">
        <v>0.64285714285714202</v>
      </c>
      <c r="I16" s="8">
        <v>-10.201856457409299</v>
      </c>
    </row>
    <row r="17" spans="1:9" ht="58" x14ac:dyDescent="0.35">
      <c r="A17" s="7" t="s">
        <v>35</v>
      </c>
      <c r="B17" s="8" t="s">
        <v>10</v>
      </c>
      <c r="C17" s="9" t="s">
        <v>36</v>
      </c>
      <c r="D17" s="9" t="s">
        <v>37</v>
      </c>
      <c r="E17" s="9"/>
      <c r="F17" s="8">
        <v>0.22222222222222199</v>
      </c>
      <c r="G17" s="8">
        <v>1</v>
      </c>
      <c r="H17" s="8">
        <v>1</v>
      </c>
      <c r="I17" s="8">
        <v>-13.448507949667199</v>
      </c>
    </row>
    <row r="18" spans="1:9" ht="58" x14ac:dyDescent="0.35">
      <c r="A18" s="7" t="s">
        <v>35</v>
      </c>
      <c r="B18" s="8" t="s">
        <v>13</v>
      </c>
      <c r="C18" s="9" t="s">
        <v>36</v>
      </c>
      <c r="D18" s="9" t="s">
        <v>37</v>
      </c>
      <c r="E18" s="9" t="s">
        <v>37</v>
      </c>
      <c r="F18" s="8">
        <v>0.22222222222222199</v>
      </c>
      <c r="G18" s="8">
        <v>0.22222222222222199</v>
      </c>
      <c r="H18" s="8">
        <v>0</v>
      </c>
      <c r="I18" s="8">
        <v>-9.2849793010462598</v>
      </c>
    </row>
    <row r="19" spans="1:9" ht="58" x14ac:dyDescent="0.35">
      <c r="A19" s="7" t="s">
        <v>35</v>
      </c>
      <c r="B19" s="8" t="s">
        <v>15</v>
      </c>
      <c r="C19" s="9" t="s">
        <v>36</v>
      </c>
      <c r="D19" s="9" t="s">
        <v>37</v>
      </c>
      <c r="E19" s="9" t="s">
        <v>38</v>
      </c>
      <c r="F19" s="8">
        <v>0.22222222222222199</v>
      </c>
      <c r="G19" s="8">
        <v>0.33333333333333298</v>
      </c>
      <c r="H19" s="8">
        <v>0.22222222222222199</v>
      </c>
      <c r="I19" s="8">
        <v>-9.2841636342990306</v>
      </c>
    </row>
    <row r="20" spans="1:9" ht="58" x14ac:dyDescent="0.35">
      <c r="A20" s="7" t="s">
        <v>35</v>
      </c>
      <c r="B20" s="8" t="s">
        <v>17</v>
      </c>
      <c r="C20" s="9" t="s">
        <v>36</v>
      </c>
      <c r="D20" s="9" t="s">
        <v>37</v>
      </c>
      <c r="E20" s="9" t="s">
        <v>37</v>
      </c>
      <c r="F20" s="8">
        <v>0.22222222222222199</v>
      </c>
      <c r="G20" s="8">
        <v>0.22222222222222199</v>
      </c>
      <c r="H20" s="8">
        <v>0</v>
      </c>
      <c r="I20" s="8">
        <v>-3.76242147673431</v>
      </c>
    </row>
    <row r="21" spans="1:9" ht="58" x14ac:dyDescent="0.35">
      <c r="A21" s="7" t="s">
        <v>35</v>
      </c>
      <c r="B21" s="8" t="s">
        <v>19</v>
      </c>
      <c r="C21" s="9" t="s">
        <v>36</v>
      </c>
      <c r="D21" s="9" t="s">
        <v>37</v>
      </c>
      <c r="E21" s="9" t="s">
        <v>39</v>
      </c>
      <c r="F21" s="8">
        <v>0.22222222222222199</v>
      </c>
      <c r="G21" s="8">
        <v>0.33333333333333298</v>
      </c>
      <c r="H21" s="8">
        <v>0.22222222222222199</v>
      </c>
      <c r="I21" s="8">
        <v>-9.6044284850814599</v>
      </c>
    </row>
    <row r="22" spans="1:9" ht="58" x14ac:dyDescent="0.35">
      <c r="A22" s="7" t="s">
        <v>40</v>
      </c>
      <c r="B22" s="8" t="s">
        <v>10</v>
      </c>
      <c r="C22" s="9" t="s">
        <v>41</v>
      </c>
      <c r="D22" s="9" t="s">
        <v>42</v>
      </c>
      <c r="E22" s="9"/>
      <c r="F22" s="8">
        <v>0.11111111111111099</v>
      </c>
      <c r="G22" s="8">
        <v>1</v>
      </c>
      <c r="H22" s="8">
        <v>1</v>
      </c>
      <c r="I22" s="8">
        <v>-17.318241835777201</v>
      </c>
    </row>
    <row r="23" spans="1:9" ht="72.5" x14ac:dyDescent="0.35">
      <c r="A23" s="7" t="s">
        <v>40</v>
      </c>
      <c r="B23" s="8" t="s">
        <v>13</v>
      </c>
      <c r="C23" s="9" t="s">
        <v>41</v>
      </c>
      <c r="D23" s="9" t="s">
        <v>42</v>
      </c>
      <c r="E23" s="9" t="s">
        <v>43</v>
      </c>
      <c r="F23" s="8">
        <v>0.11111111111111099</v>
      </c>
      <c r="G23" s="8">
        <v>0.33333333333333298</v>
      </c>
      <c r="H23" s="8">
        <v>0.22222222222222199</v>
      </c>
      <c r="I23" s="8">
        <v>-13.091939675868</v>
      </c>
    </row>
    <row r="24" spans="1:9" ht="87" x14ac:dyDescent="0.35">
      <c r="A24" s="7" t="s">
        <v>40</v>
      </c>
      <c r="B24" s="8" t="s">
        <v>15</v>
      </c>
      <c r="C24" s="9" t="s">
        <v>41</v>
      </c>
      <c r="D24" s="9" t="s">
        <v>42</v>
      </c>
      <c r="E24" s="9" t="s">
        <v>44</v>
      </c>
      <c r="F24" s="8">
        <v>0.11111111111111099</v>
      </c>
      <c r="G24" s="8">
        <v>0.33333333333333298</v>
      </c>
      <c r="H24" s="8">
        <v>0.22222222222222199</v>
      </c>
      <c r="I24" s="8">
        <v>-13.0921692937992</v>
      </c>
    </row>
    <row r="25" spans="1:9" ht="87" x14ac:dyDescent="0.35">
      <c r="A25" s="7" t="s">
        <v>40</v>
      </c>
      <c r="B25" s="8" t="s">
        <v>17</v>
      </c>
      <c r="C25" s="9" t="s">
        <v>41</v>
      </c>
      <c r="D25" s="9" t="s">
        <v>42</v>
      </c>
      <c r="E25" s="9" t="s">
        <v>44</v>
      </c>
      <c r="F25" s="8">
        <v>0.11111111111111099</v>
      </c>
      <c r="G25" s="8">
        <v>0.33333333333333298</v>
      </c>
      <c r="H25" s="8">
        <v>0.22222222222222199</v>
      </c>
      <c r="I25" s="8">
        <v>-7.52161414713827</v>
      </c>
    </row>
    <row r="26" spans="1:9" ht="72.5" x14ac:dyDescent="0.35">
      <c r="A26" s="7" t="s">
        <v>40</v>
      </c>
      <c r="B26" s="8" t="s">
        <v>19</v>
      </c>
      <c r="C26" s="9" t="s">
        <v>41</v>
      </c>
      <c r="D26" s="9" t="s">
        <v>42</v>
      </c>
      <c r="E26" s="9" t="s">
        <v>45</v>
      </c>
      <c r="F26" s="8">
        <v>0.11111111111111099</v>
      </c>
      <c r="G26" s="8">
        <v>0.66666666666666596</v>
      </c>
      <c r="H26" s="8">
        <v>0.55555555555555503</v>
      </c>
      <c r="I26" s="8">
        <v>-13.4168477819924</v>
      </c>
    </row>
    <row r="27" spans="1:9" ht="29" x14ac:dyDescent="0.35">
      <c r="A27" s="7" t="s">
        <v>46</v>
      </c>
      <c r="B27" s="8" t="s">
        <v>10</v>
      </c>
      <c r="C27" s="9" t="s">
        <v>47</v>
      </c>
      <c r="D27" s="9" t="s">
        <v>48</v>
      </c>
      <c r="E27" s="9"/>
      <c r="F27" s="8">
        <v>0.25</v>
      </c>
      <c r="G27" s="8">
        <v>1</v>
      </c>
      <c r="H27" s="8">
        <v>1</v>
      </c>
      <c r="I27" s="8">
        <v>-12.316308414090599</v>
      </c>
    </row>
    <row r="28" spans="1:9" ht="29" x14ac:dyDescent="0.35">
      <c r="A28" s="7" t="s">
        <v>46</v>
      </c>
      <c r="B28" s="8" t="s">
        <v>13</v>
      </c>
      <c r="C28" s="9" t="s">
        <v>47</v>
      </c>
      <c r="D28" s="9" t="s">
        <v>48</v>
      </c>
      <c r="E28" s="9" t="s">
        <v>47</v>
      </c>
      <c r="F28" s="8">
        <v>0.25</v>
      </c>
      <c r="G28" s="8">
        <v>0</v>
      </c>
      <c r="H28" s="8">
        <v>0.25</v>
      </c>
      <c r="I28" s="8">
        <v>-8.1056562937501404</v>
      </c>
    </row>
    <row r="29" spans="1:9" ht="43.5" x14ac:dyDescent="0.35">
      <c r="A29" s="7" t="s">
        <v>46</v>
      </c>
      <c r="B29" s="8" t="s">
        <v>15</v>
      </c>
      <c r="C29" s="9" t="s">
        <v>47</v>
      </c>
      <c r="D29" s="9" t="s">
        <v>48</v>
      </c>
      <c r="E29" s="9" t="s">
        <v>49</v>
      </c>
      <c r="F29" s="8">
        <v>0.25</v>
      </c>
      <c r="G29" s="8">
        <v>1</v>
      </c>
      <c r="H29" s="8">
        <v>0.75</v>
      </c>
      <c r="I29" s="8">
        <v>-8.1100449021409506</v>
      </c>
    </row>
    <row r="30" spans="1:9" ht="29" x14ac:dyDescent="0.35">
      <c r="A30" s="7" t="s">
        <v>46</v>
      </c>
      <c r="B30" s="8" t="s">
        <v>17</v>
      </c>
      <c r="C30" s="9" t="s">
        <v>47</v>
      </c>
      <c r="D30" s="9" t="s">
        <v>48</v>
      </c>
      <c r="E30" s="9" t="s">
        <v>47</v>
      </c>
      <c r="F30" s="8">
        <v>0.25</v>
      </c>
      <c r="G30" s="8">
        <v>0</v>
      </c>
      <c r="H30" s="8">
        <v>0.25</v>
      </c>
      <c r="I30" s="8">
        <v>-2.5562056284072301</v>
      </c>
    </row>
    <row r="31" spans="1:9" ht="29" x14ac:dyDescent="0.35">
      <c r="A31" s="7" t="s">
        <v>46</v>
      </c>
      <c r="B31" s="8" t="s">
        <v>19</v>
      </c>
      <c r="C31" s="9" t="s">
        <v>47</v>
      </c>
      <c r="D31" s="9" t="s">
        <v>48</v>
      </c>
      <c r="E31" s="9" t="s">
        <v>50</v>
      </c>
      <c r="F31" s="8">
        <v>0.25</v>
      </c>
      <c r="G31" s="8">
        <v>0.5</v>
      </c>
      <c r="H31" s="8">
        <v>0.25</v>
      </c>
      <c r="I31" s="8">
        <v>-8.4226552303605793</v>
      </c>
    </row>
    <row r="32" spans="1:9" ht="29" x14ac:dyDescent="0.35">
      <c r="A32" s="7" t="s">
        <v>51</v>
      </c>
      <c r="B32" s="8" t="s">
        <v>10</v>
      </c>
      <c r="C32" s="9" t="s">
        <v>52</v>
      </c>
      <c r="D32" s="9" t="s">
        <v>53</v>
      </c>
      <c r="E32" s="9" t="s">
        <v>54</v>
      </c>
      <c r="F32" s="8">
        <v>0.16666666666666599</v>
      </c>
      <c r="G32" s="8">
        <v>1</v>
      </c>
      <c r="H32" s="8">
        <v>1</v>
      </c>
      <c r="I32" s="8">
        <v>-5.6124668947550296</v>
      </c>
    </row>
    <row r="33" spans="1:9" ht="29" x14ac:dyDescent="0.35">
      <c r="A33" s="7" t="s">
        <v>51</v>
      </c>
      <c r="B33" s="8" t="s">
        <v>13</v>
      </c>
      <c r="C33" s="9" t="s">
        <v>52</v>
      </c>
      <c r="D33" s="9" t="s">
        <v>53</v>
      </c>
      <c r="E33" s="9" t="s">
        <v>53</v>
      </c>
      <c r="F33" s="8">
        <v>0.16666666666666599</v>
      </c>
      <c r="G33" s="8">
        <v>0.16666666666666599</v>
      </c>
      <c r="H33" s="8">
        <v>0</v>
      </c>
      <c r="I33" s="8">
        <v>-1.5855742810350899</v>
      </c>
    </row>
    <row r="34" spans="1:9" ht="29" x14ac:dyDescent="0.35">
      <c r="A34" s="7" t="s">
        <v>51</v>
      </c>
      <c r="B34" s="8" t="s">
        <v>15</v>
      </c>
      <c r="C34" s="9" t="s">
        <v>52</v>
      </c>
      <c r="D34" s="9" t="s">
        <v>53</v>
      </c>
      <c r="E34" s="9" t="s">
        <v>53</v>
      </c>
      <c r="F34" s="8">
        <v>0.16666666666666599</v>
      </c>
      <c r="G34" s="8">
        <v>0.16666666666666599</v>
      </c>
      <c r="H34" s="8">
        <v>0</v>
      </c>
      <c r="I34" s="8">
        <v>-1.58366268674769</v>
      </c>
    </row>
    <row r="35" spans="1:9" ht="29" x14ac:dyDescent="0.35">
      <c r="A35" s="7" t="s">
        <v>51</v>
      </c>
      <c r="B35" s="8" t="s">
        <v>17</v>
      </c>
      <c r="C35" s="9" t="s">
        <v>52</v>
      </c>
      <c r="D35" s="9" t="s">
        <v>53</v>
      </c>
      <c r="E35" s="9" t="s">
        <v>53</v>
      </c>
      <c r="F35" s="8">
        <v>0.16666666666666599</v>
      </c>
      <c r="G35" s="8">
        <v>0.16666666666666599</v>
      </c>
      <c r="H35" s="8">
        <v>0</v>
      </c>
      <c r="I35" s="8">
        <v>4.0757646078786598</v>
      </c>
    </row>
    <row r="36" spans="1:9" ht="29" x14ac:dyDescent="0.35">
      <c r="A36" s="7" t="s">
        <v>51</v>
      </c>
      <c r="B36" s="8" t="s">
        <v>19</v>
      </c>
      <c r="C36" s="9" t="s">
        <v>52</v>
      </c>
      <c r="D36" s="9" t="s">
        <v>53</v>
      </c>
      <c r="E36" s="9" t="s">
        <v>55</v>
      </c>
      <c r="F36" s="8">
        <v>0.16666666666666599</v>
      </c>
      <c r="G36" s="8">
        <v>0.5</v>
      </c>
      <c r="H36" s="8">
        <v>0.5</v>
      </c>
      <c r="I36" s="8">
        <v>-1.8305838993385399</v>
      </c>
    </row>
    <row r="37" spans="1:9" ht="43.5" x14ac:dyDescent="0.35">
      <c r="A37" s="7" t="s">
        <v>56</v>
      </c>
      <c r="B37" s="8" t="s">
        <v>10</v>
      </c>
      <c r="C37" s="9" t="s">
        <v>57</v>
      </c>
      <c r="D37" s="9" t="s">
        <v>58</v>
      </c>
      <c r="E37" s="9"/>
      <c r="F37" s="8">
        <v>0.1</v>
      </c>
      <c r="G37" s="8">
        <v>1</v>
      </c>
      <c r="H37" s="8">
        <v>1</v>
      </c>
      <c r="I37" s="8">
        <v>-12.6856281382428</v>
      </c>
    </row>
    <row r="38" spans="1:9" ht="43.5" x14ac:dyDescent="0.35">
      <c r="A38" s="7" t="s">
        <v>56</v>
      </c>
      <c r="B38" s="8" t="s">
        <v>13</v>
      </c>
      <c r="C38" s="9" t="s">
        <v>57</v>
      </c>
      <c r="D38" s="9" t="s">
        <v>58</v>
      </c>
      <c r="E38" s="9" t="s">
        <v>58</v>
      </c>
      <c r="F38" s="8">
        <v>0.1</v>
      </c>
      <c r="G38" s="8">
        <v>0.1</v>
      </c>
      <c r="H38" s="8">
        <v>0</v>
      </c>
      <c r="I38" s="8">
        <v>-8.4959685206819007</v>
      </c>
    </row>
    <row r="39" spans="1:9" ht="43.5" x14ac:dyDescent="0.35">
      <c r="A39" s="7" t="s">
        <v>56</v>
      </c>
      <c r="B39" s="8" t="s">
        <v>15</v>
      </c>
      <c r="C39" s="9" t="s">
        <v>57</v>
      </c>
      <c r="D39" s="9" t="s">
        <v>58</v>
      </c>
      <c r="E39" s="9" t="s">
        <v>58</v>
      </c>
      <c r="F39" s="8">
        <v>0.1</v>
      </c>
      <c r="G39" s="8">
        <v>0.1</v>
      </c>
      <c r="H39" s="8">
        <v>0</v>
      </c>
      <c r="I39" s="8">
        <v>-8.4937789011069604</v>
      </c>
    </row>
    <row r="40" spans="1:9" ht="43.5" x14ac:dyDescent="0.35">
      <c r="A40" s="7" t="s">
        <v>56</v>
      </c>
      <c r="B40" s="8" t="s">
        <v>17</v>
      </c>
      <c r="C40" s="9" t="s">
        <v>57</v>
      </c>
      <c r="D40" s="9" t="s">
        <v>58</v>
      </c>
      <c r="E40" s="9" t="s">
        <v>58</v>
      </c>
      <c r="F40" s="8">
        <v>0.1</v>
      </c>
      <c r="G40" s="8">
        <v>0.1</v>
      </c>
      <c r="H40" s="8">
        <v>0</v>
      </c>
      <c r="I40" s="8">
        <v>-2.93950613225859</v>
      </c>
    </row>
    <row r="41" spans="1:9" ht="87" x14ac:dyDescent="0.35">
      <c r="A41" s="7" t="s">
        <v>56</v>
      </c>
      <c r="B41" s="8" t="s">
        <v>19</v>
      </c>
      <c r="C41" s="9" t="s">
        <v>57</v>
      </c>
      <c r="D41" s="9" t="s">
        <v>58</v>
      </c>
      <c r="E41" s="9" t="s">
        <v>59</v>
      </c>
      <c r="F41" s="8">
        <v>0.1</v>
      </c>
      <c r="G41" s="8">
        <v>1.3</v>
      </c>
      <c r="H41" s="8">
        <v>1.3</v>
      </c>
      <c r="I41" s="8">
        <v>-8.8115909161217196</v>
      </c>
    </row>
    <row r="42" spans="1:9" ht="116" x14ac:dyDescent="0.35">
      <c r="A42" s="7" t="s">
        <v>60</v>
      </c>
      <c r="B42" s="8" t="s">
        <v>10</v>
      </c>
      <c r="C42" s="9" t="s">
        <v>61</v>
      </c>
      <c r="D42" s="9" t="s">
        <v>62</v>
      </c>
      <c r="E42" s="9"/>
      <c r="F42" s="8">
        <v>6.6666666666666596E-2</v>
      </c>
      <c r="G42" s="8">
        <v>1</v>
      </c>
      <c r="H42" s="8">
        <v>1</v>
      </c>
      <c r="I42" s="8">
        <v>-14.8660499203692</v>
      </c>
    </row>
    <row r="43" spans="1:9" ht="116" x14ac:dyDescent="0.35">
      <c r="A43" s="7" t="s">
        <v>60</v>
      </c>
      <c r="B43" s="8" t="s">
        <v>13</v>
      </c>
      <c r="C43" s="9" t="s">
        <v>61</v>
      </c>
      <c r="D43" s="9" t="s">
        <v>62</v>
      </c>
      <c r="E43" s="9" t="s">
        <v>62</v>
      </c>
      <c r="F43" s="8">
        <v>6.6666666666666596E-2</v>
      </c>
      <c r="G43" s="8">
        <v>6.6666666666666596E-2</v>
      </c>
      <c r="H43" s="8">
        <v>0</v>
      </c>
      <c r="I43" s="8">
        <v>-10.637529917743</v>
      </c>
    </row>
    <row r="44" spans="1:9" ht="116" x14ac:dyDescent="0.35">
      <c r="A44" s="7" t="s">
        <v>60</v>
      </c>
      <c r="B44" s="8" t="s">
        <v>15</v>
      </c>
      <c r="C44" s="9" t="s">
        <v>61</v>
      </c>
      <c r="D44" s="9" t="s">
        <v>62</v>
      </c>
      <c r="E44" s="9" t="s">
        <v>62</v>
      </c>
      <c r="F44" s="8">
        <v>6.6666666666666596E-2</v>
      </c>
      <c r="G44" s="8">
        <v>6.6666666666666596E-2</v>
      </c>
      <c r="H44" s="8">
        <v>0</v>
      </c>
      <c r="I44" s="8">
        <v>-10.6374965418917</v>
      </c>
    </row>
    <row r="45" spans="1:9" ht="116" x14ac:dyDescent="0.35">
      <c r="A45" s="7" t="s">
        <v>60</v>
      </c>
      <c r="B45" s="8" t="s">
        <v>17</v>
      </c>
      <c r="C45" s="9" t="s">
        <v>61</v>
      </c>
      <c r="D45" s="9" t="s">
        <v>62</v>
      </c>
      <c r="E45" s="9" t="s">
        <v>62</v>
      </c>
      <c r="F45" s="8">
        <v>6.6666666666666596E-2</v>
      </c>
      <c r="G45" s="8">
        <v>6.6666666666666596E-2</v>
      </c>
      <c r="H45" s="8">
        <v>0</v>
      </c>
      <c r="I45" s="8">
        <v>-4.8844141273038701</v>
      </c>
    </row>
    <row r="46" spans="1:9" ht="116" x14ac:dyDescent="0.35">
      <c r="A46" s="7" t="s">
        <v>60</v>
      </c>
      <c r="B46" s="8" t="s">
        <v>19</v>
      </c>
      <c r="C46" s="9" t="s">
        <v>61</v>
      </c>
      <c r="D46" s="9" t="s">
        <v>62</v>
      </c>
      <c r="E46" s="9" t="s">
        <v>63</v>
      </c>
      <c r="F46" s="8">
        <v>6.6666666666666596E-2</v>
      </c>
      <c r="G46" s="8">
        <v>0.46666666666666601</v>
      </c>
      <c r="H46" s="8">
        <v>0.4</v>
      </c>
      <c r="I46" s="8">
        <v>-10.9624392547873</v>
      </c>
    </row>
    <row r="47" spans="1:9" ht="87" x14ac:dyDescent="0.35">
      <c r="A47" s="7" t="s">
        <v>64</v>
      </c>
      <c r="B47" s="8" t="s">
        <v>10</v>
      </c>
      <c r="C47" s="9" t="s">
        <v>65</v>
      </c>
      <c r="D47" s="9" t="s">
        <v>66</v>
      </c>
      <c r="E47" s="9" t="s">
        <v>67</v>
      </c>
      <c r="F47" s="8">
        <v>0.4</v>
      </c>
      <c r="G47" s="8">
        <v>1.7</v>
      </c>
      <c r="H47" s="8">
        <v>1.7</v>
      </c>
      <c r="I47" s="8">
        <v>-9.4836871303539603</v>
      </c>
    </row>
    <row r="48" spans="1:9" ht="72.5" x14ac:dyDescent="0.35">
      <c r="A48" s="7" t="s">
        <v>64</v>
      </c>
      <c r="B48" s="8" t="s">
        <v>13</v>
      </c>
      <c r="C48" s="9" t="s">
        <v>65</v>
      </c>
      <c r="D48" s="9" t="s">
        <v>66</v>
      </c>
      <c r="E48" s="9" t="s">
        <v>68</v>
      </c>
      <c r="F48" s="8">
        <v>0.4</v>
      </c>
      <c r="G48" s="8">
        <v>0.5</v>
      </c>
      <c r="H48" s="8">
        <v>0.3</v>
      </c>
      <c r="I48" s="8">
        <v>-5.3382184999748796</v>
      </c>
    </row>
    <row r="49" spans="1:9" ht="72.5" x14ac:dyDescent="0.35">
      <c r="A49" s="7" t="s">
        <v>64</v>
      </c>
      <c r="B49" s="8" t="s">
        <v>15</v>
      </c>
      <c r="C49" s="9" t="s">
        <v>65</v>
      </c>
      <c r="D49" s="9" t="s">
        <v>66</v>
      </c>
      <c r="E49" s="9" t="s">
        <v>69</v>
      </c>
      <c r="F49" s="8">
        <v>0.4</v>
      </c>
      <c r="G49" s="8">
        <v>1</v>
      </c>
      <c r="H49" s="8">
        <v>1</v>
      </c>
      <c r="I49" s="8">
        <v>-5.3371499667627802</v>
      </c>
    </row>
    <row r="50" spans="1:9" ht="72.5" x14ac:dyDescent="0.35">
      <c r="A50" s="7" t="s">
        <v>64</v>
      </c>
      <c r="B50" s="8" t="s">
        <v>17</v>
      </c>
      <c r="C50" s="9" t="s">
        <v>65</v>
      </c>
      <c r="D50" s="9" t="s">
        <v>66</v>
      </c>
      <c r="E50" s="9" t="s">
        <v>70</v>
      </c>
      <c r="F50" s="8">
        <v>0.4</v>
      </c>
      <c r="G50" s="8">
        <v>0.4</v>
      </c>
      <c r="H50" s="8">
        <v>0.1</v>
      </c>
      <c r="I50" s="8">
        <v>0.39550688158029401</v>
      </c>
    </row>
    <row r="51" spans="1:9" ht="72.5" x14ac:dyDescent="0.35">
      <c r="A51" s="7" t="s">
        <v>64</v>
      </c>
      <c r="B51" s="8" t="s">
        <v>19</v>
      </c>
      <c r="C51" s="9" t="s">
        <v>65</v>
      </c>
      <c r="D51" s="9" t="s">
        <v>66</v>
      </c>
      <c r="E51" s="9"/>
      <c r="F51" s="8">
        <v>0.4</v>
      </c>
      <c r="G51" s="8">
        <v>1</v>
      </c>
      <c r="H51" s="8">
        <v>1</v>
      </c>
      <c r="I51" s="8">
        <v>-5.6310598892416204</v>
      </c>
    </row>
    <row r="52" spans="1:9" ht="72.5" x14ac:dyDescent="0.35">
      <c r="A52" s="7" t="s">
        <v>71</v>
      </c>
      <c r="B52" s="8" t="s">
        <v>10</v>
      </c>
      <c r="C52" s="9" t="s">
        <v>72</v>
      </c>
      <c r="D52" s="9" t="s">
        <v>73</v>
      </c>
      <c r="E52" s="9"/>
      <c r="F52" s="8">
        <v>0.133333333333333</v>
      </c>
      <c r="G52" s="8">
        <v>1</v>
      </c>
      <c r="H52" s="8">
        <v>1</v>
      </c>
      <c r="I52" s="8">
        <v>-13.9914647390226</v>
      </c>
    </row>
    <row r="53" spans="1:9" ht="72.5" x14ac:dyDescent="0.35">
      <c r="A53" s="7" t="s">
        <v>71</v>
      </c>
      <c r="B53" s="8" t="s">
        <v>13</v>
      </c>
      <c r="C53" s="9" t="s">
        <v>72</v>
      </c>
      <c r="D53" s="9" t="s">
        <v>73</v>
      </c>
      <c r="E53" s="9" t="s">
        <v>74</v>
      </c>
      <c r="F53" s="8">
        <v>0.133333333333333</v>
      </c>
      <c r="G53" s="8">
        <v>0.4</v>
      </c>
      <c r="H53" s="8">
        <v>0.266666666666666</v>
      </c>
      <c r="I53" s="8">
        <v>-9.8049411441367997</v>
      </c>
    </row>
    <row r="54" spans="1:9" ht="72.5" x14ac:dyDescent="0.35">
      <c r="A54" s="7" t="s">
        <v>71</v>
      </c>
      <c r="B54" s="8" t="s">
        <v>15</v>
      </c>
      <c r="C54" s="9" t="s">
        <v>72</v>
      </c>
      <c r="D54" s="9" t="s">
        <v>73</v>
      </c>
      <c r="E54" s="9" t="s">
        <v>75</v>
      </c>
      <c r="F54" s="8">
        <v>0.133333333333333</v>
      </c>
      <c r="G54" s="8">
        <v>0.6</v>
      </c>
      <c r="H54" s="8">
        <v>0.53333333333333299</v>
      </c>
      <c r="I54" s="8">
        <v>-9.8056602692502501</v>
      </c>
    </row>
    <row r="55" spans="1:9" ht="72.5" x14ac:dyDescent="0.35">
      <c r="A55" s="7" t="s">
        <v>71</v>
      </c>
      <c r="B55" s="8" t="s">
        <v>17</v>
      </c>
      <c r="C55" s="9" t="s">
        <v>72</v>
      </c>
      <c r="D55" s="9" t="s">
        <v>73</v>
      </c>
      <c r="E55" s="9" t="s">
        <v>76</v>
      </c>
      <c r="F55" s="8">
        <v>0.133333333333333</v>
      </c>
      <c r="G55" s="8">
        <v>0.266666666666666</v>
      </c>
      <c r="H55" s="8">
        <v>0.2</v>
      </c>
      <c r="I55" s="8">
        <v>-4.1918909883264899</v>
      </c>
    </row>
    <row r="56" spans="1:9" ht="72.5" x14ac:dyDescent="0.35">
      <c r="A56" s="7" t="s">
        <v>71</v>
      </c>
      <c r="B56" s="8" t="s">
        <v>19</v>
      </c>
      <c r="C56" s="9" t="s">
        <v>72</v>
      </c>
      <c r="D56" s="9" t="s">
        <v>73</v>
      </c>
      <c r="E56" s="9" t="s">
        <v>77</v>
      </c>
      <c r="F56" s="8">
        <v>0.133333333333333</v>
      </c>
      <c r="G56" s="8">
        <v>0.6</v>
      </c>
      <c r="H56" s="8">
        <v>0.6</v>
      </c>
      <c r="I56" s="8">
        <v>-10.127474236908199</v>
      </c>
    </row>
    <row r="57" spans="1:9" ht="43.5" x14ac:dyDescent="0.35">
      <c r="A57" s="7" t="s">
        <v>78</v>
      </c>
      <c r="B57" s="8" t="s">
        <v>10</v>
      </c>
      <c r="C57" s="9" t="s">
        <v>79</v>
      </c>
      <c r="D57" s="9" t="s">
        <v>80</v>
      </c>
      <c r="E57" s="9"/>
      <c r="F57" s="8">
        <v>0.2</v>
      </c>
      <c r="G57" s="8">
        <v>1</v>
      </c>
      <c r="H57" s="8">
        <v>1</v>
      </c>
      <c r="I57" s="8">
        <v>-16.6404663717951</v>
      </c>
    </row>
    <row r="58" spans="1:9" ht="43.5" x14ac:dyDescent="0.35">
      <c r="A58" s="7" t="s">
        <v>78</v>
      </c>
      <c r="B58" s="8" t="s">
        <v>13</v>
      </c>
      <c r="C58" s="9" t="s">
        <v>79</v>
      </c>
      <c r="D58" s="9" t="s">
        <v>80</v>
      </c>
      <c r="E58" s="9" t="s">
        <v>80</v>
      </c>
      <c r="F58" s="8">
        <v>0.2</v>
      </c>
      <c r="G58" s="8">
        <v>0.2</v>
      </c>
      <c r="H58" s="8">
        <v>0</v>
      </c>
      <c r="I58" s="8">
        <v>-12.424668006396001</v>
      </c>
    </row>
    <row r="59" spans="1:9" ht="43.5" x14ac:dyDescent="0.35">
      <c r="A59" s="7" t="s">
        <v>78</v>
      </c>
      <c r="B59" s="8" t="s">
        <v>15</v>
      </c>
      <c r="C59" s="9" t="s">
        <v>79</v>
      </c>
      <c r="D59" s="9" t="s">
        <v>80</v>
      </c>
      <c r="E59" s="9" t="s">
        <v>80</v>
      </c>
      <c r="F59" s="8">
        <v>0.2</v>
      </c>
      <c r="G59" s="8">
        <v>0.2</v>
      </c>
      <c r="H59" s="8">
        <v>0</v>
      </c>
      <c r="I59" s="8">
        <v>-12.4251306392446</v>
      </c>
    </row>
    <row r="60" spans="1:9" ht="43.5" x14ac:dyDescent="0.35">
      <c r="A60" s="7" t="s">
        <v>78</v>
      </c>
      <c r="B60" s="8" t="s">
        <v>17</v>
      </c>
      <c r="C60" s="9" t="s">
        <v>79</v>
      </c>
      <c r="D60" s="9" t="s">
        <v>80</v>
      </c>
      <c r="E60" s="9" t="s">
        <v>79</v>
      </c>
      <c r="F60" s="8">
        <v>0.2</v>
      </c>
      <c r="G60" s="8">
        <v>0</v>
      </c>
      <c r="H60" s="8">
        <v>0.2</v>
      </c>
      <c r="I60" s="8">
        <v>-6.9974496861969504</v>
      </c>
    </row>
    <row r="61" spans="1:9" ht="43.5" x14ac:dyDescent="0.35">
      <c r="A61" s="7" t="s">
        <v>78</v>
      </c>
      <c r="B61" s="8" t="s">
        <v>19</v>
      </c>
      <c r="C61" s="9" t="s">
        <v>79</v>
      </c>
      <c r="D61" s="9" t="s">
        <v>80</v>
      </c>
      <c r="E61" s="9" t="s">
        <v>80</v>
      </c>
      <c r="F61" s="8">
        <v>0.2</v>
      </c>
      <c r="G61" s="8">
        <v>0.2</v>
      </c>
      <c r="H61" s="8">
        <v>0</v>
      </c>
      <c r="I61" s="8">
        <v>-12.752287331653999</v>
      </c>
    </row>
    <row r="62" spans="1:9" ht="72.5" x14ac:dyDescent="0.35">
      <c r="A62" s="7" t="s">
        <v>81</v>
      </c>
      <c r="B62" s="8" t="s">
        <v>10</v>
      </c>
      <c r="C62" s="9" t="s">
        <v>82</v>
      </c>
      <c r="D62" s="9" t="s">
        <v>83</v>
      </c>
      <c r="E62" s="9"/>
      <c r="F62" s="8">
        <v>7.69230769230769E-2</v>
      </c>
      <c r="G62" s="8">
        <v>1</v>
      </c>
      <c r="H62" s="8">
        <v>1</v>
      </c>
      <c r="I62" s="8">
        <v>-6.85726804849602</v>
      </c>
    </row>
    <row r="63" spans="1:9" ht="72.5" x14ac:dyDescent="0.35">
      <c r="A63" s="7" t="s">
        <v>81</v>
      </c>
      <c r="B63" s="8" t="s">
        <v>13</v>
      </c>
      <c r="C63" s="9" t="s">
        <v>82</v>
      </c>
      <c r="D63" s="9" t="s">
        <v>83</v>
      </c>
      <c r="E63" s="9" t="s">
        <v>84</v>
      </c>
      <c r="F63" s="8">
        <v>7.69230769230769E-2</v>
      </c>
      <c r="G63" s="8">
        <v>0.23076923076923</v>
      </c>
      <c r="H63" s="8">
        <v>0.23076923076923</v>
      </c>
      <c r="I63" s="8">
        <v>-2.84733200462047</v>
      </c>
    </row>
    <row r="64" spans="1:9" ht="72.5" x14ac:dyDescent="0.35">
      <c r="A64" s="7" t="s">
        <v>81</v>
      </c>
      <c r="B64" s="8" t="s">
        <v>15</v>
      </c>
      <c r="C64" s="9" t="s">
        <v>82</v>
      </c>
      <c r="D64" s="9" t="s">
        <v>83</v>
      </c>
      <c r="E64" s="9" t="s">
        <v>85</v>
      </c>
      <c r="F64" s="8">
        <v>7.69230769230769E-2</v>
      </c>
      <c r="G64" s="8">
        <v>0.61538461538461497</v>
      </c>
      <c r="H64" s="8">
        <v>0.61538461538461497</v>
      </c>
      <c r="I64" s="8">
        <v>-2.84495791569528</v>
      </c>
    </row>
    <row r="65" spans="1:9" ht="72.5" x14ac:dyDescent="0.35">
      <c r="A65" s="7" t="s">
        <v>81</v>
      </c>
      <c r="B65" s="8" t="s">
        <v>17</v>
      </c>
      <c r="C65" s="9" t="s">
        <v>82</v>
      </c>
      <c r="D65" s="9" t="s">
        <v>83</v>
      </c>
      <c r="E65" s="9" t="s">
        <v>86</v>
      </c>
      <c r="F65" s="8">
        <v>7.69230769230769E-2</v>
      </c>
      <c r="G65" s="8">
        <v>0.15384615384615299</v>
      </c>
      <c r="H65" s="8">
        <v>7.69230769230769E-2</v>
      </c>
      <c r="I65" s="8">
        <v>2.88314236056683</v>
      </c>
    </row>
    <row r="66" spans="1:9" ht="87" x14ac:dyDescent="0.35">
      <c r="A66" s="7" t="s">
        <v>81</v>
      </c>
      <c r="B66" s="8" t="s">
        <v>19</v>
      </c>
      <c r="C66" s="9" t="s">
        <v>82</v>
      </c>
      <c r="D66" s="9" t="s">
        <v>83</v>
      </c>
      <c r="E66" s="9" t="s">
        <v>87</v>
      </c>
      <c r="F66" s="8">
        <v>7.69230769230769E-2</v>
      </c>
      <c r="G66" s="8">
        <v>0.92307692307692302</v>
      </c>
      <c r="H66" s="8">
        <v>0.92307692307692302</v>
      </c>
      <c r="I66" s="8">
        <v>-3.1064240711436599</v>
      </c>
    </row>
    <row r="67" spans="1:9" ht="72.5" x14ac:dyDescent="0.35">
      <c r="A67" s="7" t="s">
        <v>88</v>
      </c>
      <c r="B67" s="8" t="s">
        <v>10</v>
      </c>
      <c r="C67" s="9" t="s">
        <v>89</v>
      </c>
      <c r="D67" s="9" t="s">
        <v>90</v>
      </c>
      <c r="E67" s="9"/>
      <c r="F67" s="8">
        <v>0.15384615384615299</v>
      </c>
      <c r="G67" s="8">
        <v>1</v>
      </c>
      <c r="H67" s="8">
        <v>1</v>
      </c>
      <c r="I67" s="8">
        <v>-13.426632994962</v>
      </c>
    </row>
    <row r="68" spans="1:9" ht="72.5" x14ac:dyDescent="0.35">
      <c r="A68" s="7" t="s">
        <v>88</v>
      </c>
      <c r="B68" s="8" t="s">
        <v>13</v>
      </c>
      <c r="C68" s="9" t="s">
        <v>89</v>
      </c>
      <c r="D68" s="9" t="s">
        <v>90</v>
      </c>
      <c r="E68" s="9" t="s">
        <v>90</v>
      </c>
      <c r="F68" s="8">
        <v>0.15384615384615299</v>
      </c>
      <c r="G68" s="8">
        <v>0.15384615384615299</v>
      </c>
      <c r="H68" s="8">
        <v>0</v>
      </c>
      <c r="I68" s="8">
        <v>-9.2347286172288996</v>
      </c>
    </row>
    <row r="69" spans="1:9" ht="72.5" x14ac:dyDescent="0.35">
      <c r="A69" s="7" t="s">
        <v>88</v>
      </c>
      <c r="B69" s="8" t="s">
        <v>15</v>
      </c>
      <c r="C69" s="9" t="s">
        <v>89</v>
      </c>
      <c r="D69" s="9" t="s">
        <v>90</v>
      </c>
      <c r="E69" s="9" t="s">
        <v>90</v>
      </c>
      <c r="F69" s="8">
        <v>0.15384615384615299</v>
      </c>
      <c r="G69" s="8">
        <v>0.15384615384615299</v>
      </c>
      <c r="H69" s="8">
        <v>0</v>
      </c>
      <c r="I69" s="8">
        <v>-9.2334141372141705</v>
      </c>
    </row>
    <row r="70" spans="1:9" ht="72.5" x14ac:dyDescent="0.35">
      <c r="A70" s="7" t="s">
        <v>88</v>
      </c>
      <c r="B70" s="8" t="s">
        <v>17</v>
      </c>
      <c r="C70" s="9" t="s">
        <v>89</v>
      </c>
      <c r="D70" s="9" t="s">
        <v>90</v>
      </c>
      <c r="E70" s="9" t="s">
        <v>91</v>
      </c>
      <c r="F70" s="8">
        <v>0.15384615384615299</v>
      </c>
      <c r="G70" s="8">
        <v>7.69230769230769E-2</v>
      </c>
      <c r="H70" s="8">
        <v>7.69230769230769E-2</v>
      </c>
      <c r="I70" s="8">
        <v>-3.4018250988024699</v>
      </c>
    </row>
    <row r="71" spans="1:9" ht="72.5" x14ac:dyDescent="0.35">
      <c r="A71" s="7" t="s">
        <v>88</v>
      </c>
      <c r="B71" s="8" t="s">
        <v>19</v>
      </c>
      <c r="C71" s="9" t="s">
        <v>89</v>
      </c>
      <c r="D71" s="9" t="s">
        <v>90</v>
      </c>
      <c r="E71" s="9" t="s">
        <v>92</v>
      </c>
      <c r="F71" s="8">
        <v>0.15384615384615299</v>
      </c>
      <c r="G71" s="8">
        <v>0.76923076923076905</v>
      </c>
      <c r="H71" s="8">
        <v>0.76923076923076905</v>
      </c>
      <c r="I71" s="8">
        <v>-9.5531781678679906</v>
      </c>
    </row>
    <row r="72" spans="1:9" ht="43.5" x14ac:dyDescent="0.35">
      <c r="A72" s="7" t="s">
        <v>93</v>
      </c>
      <c r="B72" s="8" t="s">
        <v>10</v>
      </c>
      <c r="C72" s="9" t="s">
        <v>94</v>
      </c>
      <c r="D72" s="9" t="s">
        <v>95</v>
      </c>
      <c r="E72" s="9"/>
      <c r="F72" s="8">
        <v>0.25</v>
      </c>
      <c r="G72" s="8">
        <v>1</v>
      </c>
      <c r="H72" s="8">
        <v>1</v>
      </c>
      <c r="I72" s="8">
        <v>-12.6625286068486</v>
      </c>
    </row>
    <row r="73" spans="1:9" ht="58" x14ac:dyDescent="0.35">
      <c r="A73" s="7" t="s">
        <v>93</v>
      </c>
      <c r="B73" s="8" t="s">
        <v>13</v>
      </c>
      <c r="C73" s="9" t="s">
        <v>94</v>
      </c>
      <c r="D73" s="9" t="s">
        <v>95</v>
      </c>
      <c r="E73" s="9" t="s">
        <v>95</v>
      </c>
      <c r="F73" s="8">
        <v>0.25</v>
      </c>
      <c r="G73" s="8">
        <v>0.25</v>
      </c>
      <c r="H73" s="8">
        <v>0</v>
      </c>
      <c r="I73" s="8">
        <v>-8.4847279826751301</v>
      </c>
    </row>
    <row r="74" spans="1:9" ht="58" x14ac:dyDescent="0.35">
      <c r="A74" s="7" t="s">
        <v>93</v>
      </c>
      <c r="B74" s="8" t="s">
        <v>15</v>
      </c>
      <c r="C74" s="9" t="s">
        <v>94</v>
      </c>
      <c r="D74" s="9" t="s">
        <v>95</v>
      </c>
      <c r="E74" s="9" t="s">
        <v>95</v>
      </c>
      <c r="F74" s="8">
        <v>0.25</v>
      </c>
      <c r="G74" s="8">
        <v>0.25</v>
      </c>
      <c r="H74" s="8">
        <v>0</v>
      </c>
      <c r="I74" s="8">
        <v>-8.4852751247908405</v>
      </c>
    </row>
    <row r="75" spans="1:9" ht="58" x14ac:dyDescent="0.35">
      <c r="A75" s="7" t="s">
        <v>93</v>
      </c>
      <c r="B75" s="8" t="s">
        <v>17</v>
      </c>
      <c r="C75" s="9" t="s">
        <v>94</v>
      </c>
      <c r="D75" s="9" t="s">
        <v>95</v>
      </c>
      <c r="E75" s="9" t="s">
        <v>95</v>
      </c>
      <c r="F75" s="8">
        <v>0.25</v>
      </c>
      <c r="G75" s="8">
        <v>0.25</v>
      </c>
      <c r="H75" s="8">
        <v>0</v>
      </c>
      <c r="I75" s="8">
        <v>-2.65089920582344</v>
      </c>
    </row>
    <row r="76" spans="1:9" ht="58" x14ac:dyDescent="0.35">
      <c r="A76" s="7" t="s">
        <v>93</v>
      </c>
      <c r="B76" s="8" t="s">
        <v>19</v>
      </c>
      <c r="C76" s="9" t="s">
        <v>94</v>
      </c>
      <c r="D76" s="9" t="s">
        <v>95</v>
      </c>
      <c r="E76" s="9" t="s">
        <v>96</v>
      </c>
      <c r="F76" s="8">
        <v>0.25</v>
      </c>
      <c r="G76" s="8">
        <v>0.375</v>
      </c>
      <c r="H76" s="8">
        <v>0.375</v>
      </c>
      <c r="I76" s="8">
        <v>-8.7976442568281392</v>
      </c>
    </row>
    <row r="77" spans="1:9" ht="43.5" x14ac:dyDescent="0.35">
      <c r="A77" s="7" t="s">
        <v>97</v>
      </c>
      <c r="B77" s="8" t="s">
        <v>10</v>
      </c>
      <c r="C77" s="9" t="s">
        <v>98</v>
      </c>
      <c r="D77" s="9" t="s">
        <v>99</v>
      </c>
      <c r="E77" s="9"/>
      <c r="F77" s="8">
        <v>0.16666666666666599</v>
      </c>
      <c r="G77" s="8">
        <v>1</v>
      </c>
      <c r="H77" s="8">
        <v>1</v>
      </c>
      <c r="I77" s="8">
        <v>-13.064250971226601</v>
      </c>
    </row>
    <row r="78" spans="1:9" ht="43.5" x14ac:dyDescent="0.35">
      <c r="A78" s="7" t="s">
        <v>97</v>
      </c>
      <c r="B78" s="8" t="s">
        <v>13</v>
      </c>
      <c r="C78" s="9" t="s">
        <v>98</v>
      </c>
      <c r="D78" s="9" t="s">
        <v>99</v>
      </c>
      <c r="E78" s="9" t="s">
        <v>100</v>
      </c>
      <c r="F78" s="8">
        <v>0.16666666666666599</v>
      </c>
      <c r="G78" s="8">
        <v>1</v>
      </c>
      <c r="H78" s="8">
        <v>1</v>
      </c>
      <c r="I78" s="8">
        <v>-8.9092113906358108</v>
      </c>
    </row>
    <row r="79" spans="1:9" ht="43.5" x14ac:dyDescent="0.35">
      <c r="A79" s="7" t="s">
        <v>97</v>
      </c>
      <c r="B79" s="8" t="s">
        <v>15</v>
      </c>
      <c r="C79" s="9" t="s">
        <v>98</v>
      </c>
      <c r="D79" s="9" t="s">
        <v>99</v>
      </c>
      <c r="E79" s="9" t="s">
        <v>101</v>
      </c>
      <c r="F79" s="8">
        <v>0.16666666666666599</v>
      </c>
      <c r="G79" s="8">
        <v>0.66666666666666596</v>
      </c>
      <c r="H79" s="8">
        <v>0.5</v>
      </c>
      <c r="I79" s="8">
        <v>-8.90826533003567</v>
      </c>
    </row>
    <row r="80" spans="1:9" ht="43.5" x14ac:dyDescent="0.35">
      <c r="A80" s="7" t="s">
        <v>97</v>
      </c>
      <c r="B80" s="8" t="s">
        <v>17</v>
      </c>
      <c r="C80" s="9" t="s">
        <v>98</v>
      </c>
      <c r="D80" s="9" t="s">
        <v>99</v>
      </c>
      <c r="E80" s="9" t="s">
        <v>101</v>
      </c>
      <c r="F80" s="8">
        <v>0.16666666666666599</v>
      </c>
      <c r="G80" s="8">
        <v>0.66666666666666596</v>
      </c>
      <c r="H80" s="8">
        <v>0.5</v>
      </c>
      <c r="I80" s="8">
        <v>-3.3130171692841301</v>
      </c>
    </row>
    <row r="81" spans="1:9" ht="43.5" x14ac:dyDescent="0.35">
      <c r="A81" s="7" t="s">
        <v>97</v>
      </c>
      <c r="B81" s="8" t="s">
        <v>19</v>
      </c>
      <c r="C81" s="9" t="s">
        <v>98</v>
      </c>
      <c r="D81" s="9" t="s">
        <v>99</v>
      </c>
      <c r="E81" s="9" t="s">
        <v>102</v>
      </c>
      <c r="F81" s="8">
        <v>0.16666666666666599</v>
      </c>
      <c r="G81" s="8">
        <v>1</v>
      </c>
      <c r="H81" s="8">
        <v>1</v>
      </c>
      <c r="I81" s="8">
        <v>-9.2220585254879595</v>
      </c>
    </row>
    <row r="82" spans="1:9" ht="43.5" x14ac:dyDescent="0.35">
      <c r="A82" s="7" t="s">
        <v>103</v>
      </c>
      <c r="B82" s="8" t="s">
        <v>10</v>
      </c>
      <c r="C82" s="9" t="s">
        <v>104</v>
      </c>
      <c r="D82" s="9" t="s">
        <v>105</v>
      </c>
      <c r="E82" s="9"/>
      <c r="F82" s="8">
        <v>0.55555555555555503</v>
      </c>
      <c r="G82" s="8">
        <v>1</v>
      </c>
      <c r="H82" s="8">
        <v>1</v>
      </c>
      <c r="I82" s="8">
        <v>-15.966438897184601</v>
      </c>
    </row>
    <row r="83" spans="1:9" ht="58" x14ac:dyDescent="0.35">
      <c r="A83" s="7" t="s">
        <v>103</v>
      </c>
      <c r="B83" s="8" t="s">
        <v>13</v>
      </c>
      <c r="C83" s="9" t="s">
        <v>104</v>
      </c>
      <c r="D83" s="9" t="s">
        <v>105</v>
      </c>
      <c r="E83" s="9" t="s">
        <v>106</v>
      </c>
      <c r="F83" s="8">
        <v>0.55555555555555503</v>
      </c>
      <c r="G83" s="8">
        <v>0.77777777777777701</v>
      </c>
      <c r="H83" s="8">
        <v>0.875</v>
      </c>
      <c r="I83" s="8">
        <v>-11.7232591927391</v>
      </c>
    </row>
    <row r="84" spans="1:9" ht="43.5" x14ac:dyDescent="0.35">
      <c r="A84" s="7" t="s">
        <v>103</v>
      </c>
      <c r="B84" s="8" t="s">
        <v>15</v>
      </c>
      <c r="C84" s="9" t="s">
        <v>104</v>
      </c>
      <c r="D84" s="9" t="s">
        <v>105</v>
      </c>
      <c r="E84" s="9" t="s">
        <v>107</v>
      </c>
      <c r="F84" s="8">
        <v>0.55555555555555503</v>
      </c>
      <c r="G84" s="8">
        <v>0.88888888888888795</v>
      </c>
      <c r="H84" s="8">
        <v>0.75</v>
      </c>
      <c r="I84" s="8">
        <v>-11.7221187924692</v>
      </c>
    </row>
    <row r="85" spans="1:9" ht="43.5" x14ac:dyDescent="0.35">
      <c r="A85" s="7" t="s">
        <v>103</v>
      </c>
      <c r="B85" s="8" t="s">
        <v>17</v>
      </c>
      <c r="C85" s="9" t="s">
        <v>104</v>
      </c>
      <c r="D85" s="9" t="s">
        <v>105</v>
      </c>
      <c r="E85" s="9" t="s">
        <v>108</v>
      </c>
      <c r="F85" s="8">
        <v>0.55555555555555503</v>
      </c>
      <c r="G85" s="8">
        <v>0.77777777777777701</v>
      </c>
      <c r="H85" s="8">
        <v>0.75</v>
      </c>
      <c r="I85" s="8">
        <v>-6.0612781353686804</v>
      </c>
    </row>
    <row r="86" spans="1:9" ht="43.5" x14ac:dyDescent="0.35">
      <c r="A86" s="7" t="s">
        <v>103</v>
      </c>
      <c r="B86" s="8" t="s">
        <v>19</v>
      </c>
      <c r="C86" s="9" t="s">
        <v>104</v>
      </c>
      <c r="D86" s="9" t="s">
        <v>105</v>
      </c>
      <c r="E86" s="9"/>
      <c r="F86" s="8">
        <v>0.55555555555555503</v>
      </c>
      <c r="G86" s="8">
        <v>1</v>
      </c>
      <c r="H86" s="8">
        <v>1</v>
      </c>
      <c r="I86" s="8">
        <v>-12.0482629291637</v>
      </c>
    </row>
    <row r="87" spans="1:9" ht="29" x14ac:dyDescent="0.35">
      <c r="A87" s="7" t="s">
        <v>109</v>
      </c>
      <c r="B87" s="8" t="s">
        <v>10</v>
      </c>
      <c r="C87" s="9" t="s">
        <v>110</v>
      </c>
      <c r="D87" s="9" t="s">
        <v>111</v>
      </c>
      <c r="E87" s="9"/>
      <c r="F87" s="8">
        <v>0.57142857142857095</v>
      </c>
      <c r="G87" s="8">
        <v>1</v>
      </c>
      <c r="H87" s="8">
        <v>1</v>
      </c>
      <c r="I87" s="8">
        <v>-14.6339960208183</v>
      </c>
    </row>
    <row r="88" spans="1:9" ht="29" x14ac:dyDescent="0.35">
      <c r="A88" s="7" t="s">
        <v>109</v>
      </c>
      <c r="B88" s="8" t="s">
        <v>13</v>
      </c>
      <c r="C88" s="9" t="s">
        <v>110</v>
      </c>
      <c r="D88" s="9" t="s">
        <v>111</v>
      </c>
      <c r="E88" s="9" t="s">
        <v>112</v>
      </c>
      <c r="F88" s="8">
        <v>0.57142857142857095</v>
      </c>
      <c r="G88" s="8">
        <v>0.14285714285714199</v>
      </c>
      <c r="H88" s="8">
        <v>0.42857142857142799</v>
      </c>
      <c r="I88" s="8">
        <v>-10.400841491752701</v>
      </c>
    </row>
    <row r="89" spans="1:9" ht="29" x14ac:dyDescent="0.35">
      <c r="A89" s="7" t="s">
        <v>109</v>
      </c>
      <c r="B89" s="8" t="s">
        <v>15</v>
      </c>
      <c r="C89" s="9" t="s">
        <v>110</v>
      </c>
      <c r="D89" s="9" t="s">
        <v>111</v>
      </c>
      <c r="E89" s="9" t="s">
        <v>112</v>
      </c>
      <c r="F89" s="8">
        <v>0.57142857142857095</v>
      </c>
      <c r="G89" s="8">
        <v>0.14285714285714199</v>
      </c>
      <c r="H89" s="8">
        <v>0.42857142857142799</v>
      </c>
      <c r="I89" s="8">
        <v>-10.3999378560683</v>
      </c>
    </row>
    <row r="90" spans="1:9" ht="29" x14ac:dyDescent="0.35">
      <c r="A90" s="7" t="s">
        <v>109</v>
      </c>
      <c r="B90" s="8" t="s">
        <v>17</v>
      </c>
      <c r="C90" s="9" t="s">
        <v>110</v>
      </c>
      <c r="D90" s="9" t="s">
        <v>111</v>
      </c>
      <c r="E90" s="9" t="s">
        <v>112</v>
      </c>
      <c r="F90" s="8">
        <v>0.57142857142857095</v>
      </c>
      <c r="G90" s="8">
        <v>0.14285714285714199</v>
      </c>
      <c r="H90" s="8">
        <v>0.42857142857142799</v>
      </c>
      <c r="I90" s="8">
        <v>-4.71852529938975</v>
      </c>
    </row>
    <row r="91" spans="1:9" ht="188.5" x14ac:dyDescent="0.35">
      <c r="A91" s="7" t="s">
        <v>109</v>
      </c>
      <c r="B91" s="8" t="s">
        <v>19</v>
      </c>
      <c r="C91" s="9" t="s">
        <v>110</v>
      </c>
      <c r="D91" s="9" t="s">
        <v>111</v>
      </c>
      <c r="E91" s="9" t="s">
        <v>113</v>
      </c>
      <c r="F91" s="8">
        <v>0.57142857142857095</v>
      </c>
      <c r="G91" s="8">
        <v>1</v>
      </c>
      <c r="H91" s="8">
        <v>1</v>
      </c>
      <c r="I91" s="8">
        <v>-10.724368039863</v>
      </c>
    </row>
    <row r="92" spans="1:9" ht="29" x14ac:dyDescent="0.35">
      <c r="A92" s="7" t="s">
        <v>114</v>
      </c>
      <c r="B92" s="8" t="s">
        <v>10</v>
      </c>
      <c r="C92" s="9" t="s">
        <v>115</v>
      </c>
      <c r="D92" s="9" t="s">
        <v>116</v>
      </c>
      <c r="E92" s="9"/>
      <c r="F92" s="8">
        <v>0.25</v>
      </c>
      <c r="G92" s="8">
        <v>1</v>
      </c>
      <c r="H92" s="8">
        <v>1</v>
      </c>
      <c r="I92" s="8">
        <v>-15.7335262081157</v>
      </c>
    </row>
    <row r="93" spans="1:9" ht="29" x14ac:dyDescent="0.35">
      <c r="A93" s="7" t="s">
        <v>114</v>
      </c>
      <c r="B93" s="8" t="s">
        <v>13</v>
      </c>
      <c r="C93" s="9" t="s">
        <v>115</v>
      </c>
      <c r="D93" s="9" t="s">
        <v>116</v>
      </c>
      <c r="E93" s="9" t="s">
        <v>117</v>
      </c>
      <c r="F93" s="8">
        <v>0.25</v>
      </c>
      <c r="G93" s="8">
        <v>1</v>
      </c>
      <c r="H93" s="8">
        <v>1</v>
      </c>
      <c r="I93" s="8">
        <v>-11.5162108659498</v>
      </c>
    </row>
    <row r="94" spans="1:9" ht="29" x14ac:dyDescent="0.35">
      <c r="A94" s="7" t="s">
        <v>114</v>
      </c>
      <c r="B94" s="8" t="s">
        <v>15</v>
      </c>
      <c r="C94" s="9" t="s">
        <v>115</v>
      </c>
      <c r="D94" s="9" t="s">
        <v>116</v>
      </c>
      <c r="E94" s="9" t="s">
        <v>116</v>
      </c>
      <c r="F94" s="8">
        <v>0.25</v>
      </c>
      <c r="G94" s="8">
        <v>0.25</v>
      </c>
      <c r="H94" s="8">
        <v>0</v>
      </c>
      <c r="I94" s="8">
        <v>-11.5142611165401</v>
      </c>
    </row>
    <row r="95" spans="1:9" ht="29" x14ac:dyDescent="0.35">
      <c r="A95" s="7" t="s">
        <v>114</v>
      </c>
      <c r="B95" s="8" t="s">
        <v>17</v>
      </c>
      <c r="C95" s="9" t="s">
        <v>115</v>
      </c>
      <c r="D95" s="9" t="s">
        <v>116</v>
      </c>
      <c r="E95" s="9" t="s">
        <v>118</v>
      </c>
      <c r="F95" s="8">
        <v>0.25</v>
      </c>
      <c r="G95" s="8">
        <v>0.5</v>
      </c>
      <c r="H95" s="8">
        <v>0.5</v>
      </c>
      <c r="I95" s="8">
        <v>-5.8222041231168804</v>
      </c>
    </row>
    <row r="96" spans="1:9" ht="43.5" x14ac:dyDescent="0.35">
      <c r="A96" s="7" t="s">
        <v>114</v>
      </c>
      <c r="B96" s="8" t="s">
        <v>19</v>
      </c>
      <c r="C96" s="9" t="s">
        <v>115</v>
      </c>
      <c r="D96" s="9" t="s">
        <v>116</v>
      </c>
      <c r="E96" s="9" t="s">
        <v>119</v>
      </c>
      <c r="F96" s="8">
        <v>0.25</v>
      </c>
      <c r="G96" s="8">
        <v>1.5</v>
      </c>
      <c r="H96" s="8">
        <v>1.5</v>
      </c>
      <c r="I96" s="8">
        <v>-11.840598510196299</v>
      </c>
    </row>
    <row r="97" spans="1:9" ht="58" x14ac:dyDescent="0.35">
      <c r="A97" s="7" t="s">
        <v>120</v>
      </c>
      <c r="B97" s="8" t="s">
        <v>10</v>
      </c>
      <c r="C97" s="9" t="s">
        <v>121</v>
      </c>
      <c r="D97" s="9" t="s">
        <v>122</v>
      </c>
      <c r="E97" s="9"/>
      <c r="F97" s="8">
        <v>0.6</v>
      </c>
      <c r="G97" s="8">
        <v>1</v>
      </c>
      <c r="H97" s="8">
        <v>1</v>
      </c>
      <c r="I97" s="8">
        <v>-15.909738165393</v>
      </c>
    </row>
    <row r="98" spans="1:9" ht="58" x14ac:dyDescent="0.35">
      <c r="A98" s="7" t="s">
        <v>120</v>
      </c>
      <c r="B98" s="8" t="s">
        <v>13</v>
      </c>
      <c r="C98" s="9" t="s">
        <v>121</v>
      </c>
      <c r="D98" s="9" t="s">
        <v>122</v>
      </c>
      <c r="E98" s="9" t="s">
        <v>123</v>
      </c>
      <c r="F98" s="8">
        <v>0.6</v>
      </c>
      <c r="G98" s="8">
        <v>1.6</v>
      </c>
      <c r="H98" s="8">
        <v>1.4</v>
      </c>
      <c r="I98" s="8">
        <v>-11.675466386729401</v>
      </c>
    </row>
    <row r="99" spans="1:9" ht="58" x14ac:dyDescent="0.35">
      <c r="A99" s="7" t="s">
        <v>120</v>
      </c>
      <c r="B99" s="8" t="s">
        <v>15</v>
      </c>
      <c r="C99" s="9" t="s">
        <v>121</v>
      </c>
      <c r="D99" s="9" t="s">
        <v>122</v>
      </c>
      <c r="E99" s="9" t="s">
        <v>124</v>
      </c>
      <c r="F99" s="8">
        <v>0.6</v>
      </c>
      <c r="G99" s="8">
        <v>1</v>
      </c>
      <c r="H99" s="8">
        <v>1</v>
      </c>
      <c r="I99" s="8">
        <v>-11.6758465176214</v>
      </c>
    </row>
    <row r="100" spans="1:9" ht="72.5" x14ac:dyDescent="0.35">
      <c r="A100" s="7" t="s">
        <v>120</v>
      </c>
      <c r="B100" s="8" t="s">
        <v>17</v>
      </c>
      <c r="C100" s="9" t="s">
        <v>121</v>
      </c>
      <c r="D100" s="9" t="s">
        <v>122</v>
      </c>
      <c r="E100" s="9" t="s">
        <v>125</v>
      </c>
      <c r="F100" s="8">
        <v>0.6</v>
      </c>
      <c r="G100" s="8">
        <v>2</v>
      </c>
      <c r="H100" s="8">
        <v>2</v>
      </c>
      <c r="I100" s="8">
        <v>-6.0655700200436202</v>
      </c>
    </row>
    <row r="101" spans="1:9" ht="58" x14ac:dyDescent="0.35">
      <c r="A101" s="7" t="s">
        <v>120</v>
      </c>
      <c r="B101" s="8" t="s">
        <v>19</v>
      </c>
      <c r="C101" s="9" t="s">
        <v>121</v>
      </c>
      <c r="D101" s="9" t="s">
        <v>122</v>
      </c>
      <c r="E101" s="9" t="s">
        <v>126</v>
      </c>
      <c r="F101" s="8">
        <v>0.6</v>
      </c>
      <c r="G101" s="8">
        <v>1</v>
      </c>
      <c r="H101" s="8">
        <v>1</v>
      </c>
      <c r="I101" s="8">
        <v>-12.000789062064699</v>
      </c>
    </row>
    <row r="102" spans="1:9" ht="72.5" x14ac:dyDescent="0.35">
      <c r="A102" s="7" t="s">
        <v>127</v>
      </c>
      <c r="B102" s="8" t="s">
        <v>10</v>
      </c>
      <c r="C102" s="9" t="s">
        <v>128</v>
      </c>
      <c r="D102" s="9" t="s">
        <v>129</v>
      </c>
      <c r="E102" s="9"/>
      <c r="F102" s="8">
        <v>0.5</v>
      </c>
      <c r="G102" s="8">
        <v>1</v>
      </c>
      <c r="H102" s="8">
        <v>1</v>
      </c>
      <c r="I102" s="8">
        <v>-18.356865428736601</v>
      </c>
    </row>
    <row r="103" spans="1:9" ht="87" x14ac:dyDescent="0.35">
      <c r="A103" s="7" t="s">
        <v>127</v>
      </c>
      <c r="B103" s="8" t="s">
        <v>13</v>
      </c>
      <c r="C103" s="9" t="s">
        <v>128</v>
      </c>
      <c r="D103" s="9" t="s">
        <v>129</v>
      </c>
      <c r="E103" s="9" t="s">
        <v>130</v>
      </c>
      <c r="F103" s="8">
        <v>0.5</v>
      </c>
      <c r="G103" s="8">
        <v>0.33333333333333298</v>
      </c>
      <c r="H103" s="8">
        <v>0.27272727272727199</v>
      </c>
      <c r="I103" s="8">
        <v>-14.1232555645184</v>
      </c>
    </row>
    <row r="104" spans="1:9" ht="72.5" x14ac:dyDescent="0.35">
      <c r="A104" s="7" t="s">
        <v>127</v>
      </c>
      <c r="B104" s="8" t="s">
        <v>15</v>
      </c>
      <c r="C104" s="9" t="s">
        <v>128</v>
      </c>
      <c r="D104" s="9" t="s">
        <v>129</v>
      </c>
      <c r="E104" s="9" t="s">
        <v>131</v>
      </c>
      <c r="F104" s="8">
        <v>0.5</v>
      </c>
      <c r="G104" s="8">
        <v>0.41666666666666602</v>
      </c>
      <c r="H104" s="8">
        <v>0.18181818181818099</v>
      </c>
      <c r="I104" s="8">
        <v>-14.123901284392799</v>
      </c>
    </row>
    <row r="105" spans="1:9" ht="72.5" x14ac:dyDescent="0.35">
      <c r="A105" s="7" t="s">
        <v>127</v>
      </c>
      <c r="B105" s="8" t="s">
        <v>17</v>
      </c>
      <c r="C105" s="9" t="s">
        <v>128</v>
      </c>
      <c r="D105" s="9" t="s">
        <v>129</v>
      </c>
      <c r="E105" s="9" t="s">
        <v>132</v>
      </c>
      <c r="F105" s="8">
        <v>0.5</v>
      </c>
      <c r="G105" s="8">
        <v>0.41666666666666602</v>
      </c>
      <c r="H105" s="8">
        <v>0.36363636363636298</v>
      </c>
      <c r="I105" s="8">
        <v>-8.4073700999185004</v>
      </c>
    </row>
    <row r="106" spans="1:9" ht="72.5" x14ac:dyDescent="0.35">
      <c r="A106" s="7" t="s">
        <v>127</v>
      </c>
      <c r="B106" s="8" t="s">
        <v>19</v>
      </c>
      <c r="C106" s="9" t="s">
        <v>128</v>
      </c>
      <c r="D106" s="9" t="s">
        <v>129</v>
      </c>
      <c r="E106" s="9" t="s">
        <v>133</v>
      </c>
      <c r="F106" s="8">
        <v>0.5</v>
      </c>
      <c r="G106" s="8">
        <v>0.83333333333333304</v>
      </c>
      <c r="H106" s="8">
        <v>0.90909090909090895</v>
      </c>
      <c r="I106" s="8">
        <v>-14.4546563098364</v>
      </c>
    </row>
    <row r="107" spans="1:9" ht="87" x14ac:dyDescent="0.35">
      <c r="A107" s="7" t="s">
        <v>134</v>
      </c>
      <c r="B107" s="8" t="s">
        <v>10</v>
      </c>
      <c r="C107" s="9" t="s">
        <v>135</v>
      </c>
      <c r="D107" s="9" t="s">
        <v>136</v>
      </c>
      <c r="E107" s="9"/>
      <c r="F107" s="8">
        <v>0.15384615384615299</v>
      </c>
      <c r="G107" s="8">
        <v>1</v>
      </c>
      <c r="H107" s="8">
        <v>1</v>
      </c>
      <c r="I107" s="8">
        <v>-14.015201194267901</v>
      </c>
    </row>
    <row r="108" spans="1:9" ht="87" x14ac:dyDescent="0.35">
      <c r="A108" s="7" t="s">
        <v>134</v>
      </c>
      <c r="B108" s="8" t="s">
        <v>13</v>
      </c>
      <c r="C108" s="9" t="s">
        <v>135</v>
      </c>
      <c r="D108" s="9" t="s">
        <v>136</v>
      </c>
      <c r="E108" s="9" t="s">
        <v>137</v>
      </c>
      <c r="F108" s="8">
        <v>0.15384615384615299</v>
      </c>
      <c r="G108" s="8">
        <v>0.23076923076923</v>
      </c>
      <c r="H108" s="8">
        <v>7.69230769230769E-2</v>
      </c>
      <c r="I108" s="8">
        <v>-9.8214723608117396</v>
      </c>
    </row>
    <row r="109" spans="1:9" ht="101.5" x14ac:dyDescent="0.35">
      <c r="A109" s="7" t="s">
        <v>134</v>
      </c>
      <c r="B109" s="8" t="s">
        <v>15</v>
      </c>
      <c r="C109" s="9" t="s">
        <v>135</v>
      </c>
      <c r="D109" s="9" t="s">
        <v>136</v>
      </c>
      <c r="E109" s="9" t="s">
        <v>138</v>
      </c>
      <c r="F109" s="8">
        <v>0.15384615384615299</v>
      </c>
      <c r="G109" s="8">
        <v>0.38461538461538403</v>
      </c>
      <c r="H109" s="8">
        <v>0.23076923076923</v>
      </c>
      <c r="I109" s="8">
        <v>-9.8206959059496999</v>
      </c>
    </row>
    <row r="110" spans="1:9" ht="87" x14ac:dyDescent="0.35">
      <c r="A110" s="7" t="s">
        <v>134</v>
      </c>
      <c r="B110" s="8" t="s">
        <v>17</v>
      </c>
      <c r="C110" s="9" t="s">
        <v>135</v>
      </c>
      <c r="D110" s="9" t="s">
        <v>136</v>
      </c>
      <c r="E110" s="9" t="s">
        <v>136</v>
      </c>
      <c r="F110" s="8">
        <v>0.15384615384615299</v>
      </c>
      <c r="G110" s="8">
        <v>0.15384615384615299</v>
      </c>
      <c r="H110" s="8">
        <v>0</v>
      </c>
      <c r="I110" s="8">
        <v>-4.1694047014741802</v>
      </c>
    </row>
    <row r="111" spans="1:9" ht="87" x14ac:dyDescent="0.35">
      <c r="A111" s="7" t="s">
        <v>134</v>
      </c>
      <c r="B111" s="8" t="s">
        <v>19</v>
      </c>
      <c r="C111" s="9" t="s">
        <v>135</v>
      </c>
      <c r="D111" s="9" t="s">
        <v>136</v>
      </c>
      <c r="E111" s="9" t="s">
        <v>139</v>
      </c>
      <c r="F111" s="8">
        <v>0.15384615384615299</v>
      </c>
      <c r="G111" s="8">
        <v>1</v>
      </c>
      <c r="H111" s="8">
        <v>1</v>
      </c>
      <c r="I111" s="8">
        <v>-10.1398366019893</v>
      </c>
    </row>
    <row r="112" spans="1:9" ht="29" x14ac:dyDescent="0.35">
      <c r="A112" s="7" t="s">
        <v>140</v>
      </c>
      <c r="B112" s="8" t="s">
        <v>10</v>
      </c>
      <c r="C112" s="9" t="s">
        <v>141</v>
      </c>
      <c r="D112" s="9" t="s">
        <v>142</v>
      </c>
      <c r="E112" s="9"/>
      <c r="F112" s="8">
        <v>0.16666666666666599</v>
      </c>
      <c r="G112" s="8">
        <v>1</v>
      </c>
      <c r="H112" s="8">
        <v>1</v>
      </c>
      <c r="I112" s="8">
        <v>-14.944044870147399</v>
      </c>
    </row>
    <row r="113" spans="1:9" ht="43.5" x14ac:dyDescent="0.35">
      <c r="A113" s="7" t="s">
        <v>140</v>
      </c>
      <c r="B113" s="8" t="s">
        <v>13</v>
      </c>
      <c r="C113" s="9" t="s">
        <v>141</v>
      </c>
      <c r="D113" s="9" t="s">
        <v>142</v>
      </c>
      <c r="E113" s="9" t="s">
        <v>143</v>
      </c>
      <c r="F113" s="8">
        <v>0.16666666666666599</v>
      </c>
      <c r="G113" s="8">
        <v>0.33333333333333298</v>
      </c>
      <c r="H113" s="8">
        <v>0.16666666666666599</v>
      </c>
      <c r="I113" s="8">
        <v>-10.736501805967601</v>
      </c>
    </row>
    <row r="114" spans="1:9" ht="43.5" x14ac:dyDescent="0.35">
      <c r="A114" s="7" t="s">
        <v>140</v>
      </c>
      <c r="B114" s="8" t="s">
        <v>15</v>
      </c>
      <c r="C114" s="9" t="s">
        <v>141</v>
      </c>
      <c r="D114" s="9" t="s">
        <v>142</v>
      </c>
      <c r="E114" s="9" t="s">
        <v>142</v>
      </c>
      <c r="F114" s="8">
        <v>0.16666666666666599</v>
      </c>
      <c r="G114" s="8">
        <v>0.16666666666666599</v>
      </c>
      <c r="H114" s="8">
        <v>0</v>
      </c>
      <c r="I114" s="8">
        <v>-10.737552860534199</v>
      </c>
    </row>
    <row r="115" spans="1:9" ht="43.5" x14ac:dyDescent="0.35">
      <c r="A115" s="7" t="s">
        <v>140</v>
      </c>
      <c r="B115" s="8" t="s">
        <v>17</v>
      </c>
      <c r="C115" s="9" t="s">
        <v>141</v>
      </c>
      <c r="D115" s="9" t="s">
        <v>142</v>
      </c>
      <c r="E115" s="9" t="s">
        <v>144</v>
      </c>
      <c r="F115" s="8">
        <v>0.16666666666666599</v>
      </c>
      <c r="G115" s="8">
        <v>0.33333333333333298</v>
      </c>
      <c r="H115" s="8">
        <v>0.5</v>
      </c>
      <c r="I115" s="8">
        <v>-5.27950997863958</v>
      </c>
    </row>
    <row r="116" spans="1:9" ht="43.5" x14ac:dyDescent="0.35">
      <c r="A116" s="7" t="s">
        <v>140</v>
      </c>
      <c r="B116" s="8" t="s">
        <v>19</v>
      </c>
      <c r="C116" s="9" t="s">
        <v>141</v>
      </c>
      <c r="D116" s="9" t="s">
        <v>142</v>
      </c>
      <c r="E116" s="9" t="s">
        <v>145</v>
      </c>
      <c r="F116" s="8">
        <v>0.16666666666666599</v>
      </c>
      <c r="G116" s="8">
        <v>0.66666666666666596</v>
      </c>
      <c r="H116" s="8">
        <v>0.66666666666666596</v>
      </c>
      <c r="I116" s="8">
        <v>-11.062274758693199</v>
      </c>
    </row>
    <row r="117" spans="1:9" ht="58" x14ac:dyDescent="0.35">
      <c r="A117" s="7" t="s">
        <v>146</v>
      </c>
      <c r="B117" s="8" t="s">
        <v>10</v>
      </c>
      <c r="C117" s="9" t="s">
        <v>147</v>
      </c>
      <c r="D117" s="9" t="s">
        <v>148</v>
      </c>
      <c r="E117" s="9"/>
      <c r="F117" s="8">
        <v>0.15384615384615299</v>
      </c>
      <c r="G117" s="8">
        <v>1</v>
      </c>
      <c r="H117" s="8">
        <v>1</v>
      </c>
      <c r="I117" s="8">
        <v>-16.364812144229202</v>
      </c>
    </row>
    <row r="118" spans="1:9" ht="58" x14ac:dyDescent="0.35">
      <c r="A118" s="7" t="s">
        <v>146</v>
      </c>
      <c r="B118" s="8" t="s">
        <v>13</v>
      </c>
      <c r="C118" s="9" t="s">
        <v>147</v>
      </c>
      <c r="D118" s="9" t="s">
        <v>148</v>
      </c>
      <c r="E118" s="9" t="s">
        <v>148</v>
      </c>
      <c r="F118" s="8">
        <v>0.15384615384615299</v>
      </c>
      <c r="G118" s="8">
        <v>0.15384615384615299</v>
      </c>
      <c r="H118" s="8">
        <v>0</v>
      </c>
      <c r="I118" s="8">
        <v>-12.1413048342124</v>
      </c>
    </row>
    <row r="119" spans="1:9" ht="58" x14ac:dyDescent="0.35">
      <c r="A119" s="7" t="s">
        <v>146</v>
      </c>
      <c r="B119" s="8" t="s">
        <v>15</v>
      </c>
      <c r="C119" s="9" t="s">
        <v>147</v>
      </c>
      <c r="D119" s="9" t="s">
        <v>148</v>
      </c>
      <c r="E119" s="9" t="s">
        <v>148</v>
      </c>
      <c r="F119" s="8">
        <v>0.15384615384615299</v>
      </c>
      <c r="G119" s="8">
        <v>0.15384615384615299</v>
      </c>
      <c r="H119" s="8">
        <v>0</v>
      </c>
      <c r="I119" s="8">
        <v>-12.141004560582701</v>
      </c>
    </row>
    <row r="120" spans="1:9" ht="58" x14ac:dyDescent="0.35">
      <c r="A120" s="7" t="s">
        <v>146</v>
      </c>
      <c r="B120" s="8" t="s">
        <v>17</v>
      </c>
      <c r="C120" s="9" t="s">
        <v>147</v>
      </c>
      <c r="D120" s="9" t="s">
        <v>148</v>
      </c>
      <c r="E120" s="9" t="s">
        <v>148</v>
      </c>
      <c r="F120" s="8">
        <v>0.15384615384615299</v>
      </c>
      <c r="G120" s="8">
        <v>0.15384615384615299</v>
      </c>
      <c r="H120" s="8">
        <v>0</v>
      </c>
      <c r="I120" s="8">
        <v>-6.4454206008775401</v>
      </c>
    </row>
    <row r="121" spans="1:9" ht="72.5" x14ac:dyDescent="0.35">
      <c r="A121" s="7" t="s">
        <v>146</v>
      </c>
      <c r="B121" s="8" t="s">
        <v>19</v>
      </c>
      <c r="C121" s="9" t="s">
        <v>147</v>
      </c>
      <c r="D121" s="9" t="s">
        <v>148</v>
      </c>
      <c r="E121" s="9" t="s">
        <v>149</v>
      </c>
      <c r="F121" s="8">
        <v>0.15384615384615299</v>
      </c>
      <c r="G121" s="8">
        <v>0.30769230769230699</v>
      </c>
      <c r="H121" s="8">
        <v>0.16666666666666599</v>
      </c>
      <c r="I121" s="8">
        <v>-12.466795442570801</v>
      </c>
    </row>
    <row r="122" spans="1:9" ht="29" x14ac:dyDescent="0.35">
      <c r="A122" s="7" t="s">
        <v>150</v>
      </c>
      <c r="B122" s="8" t="s">
        <v>10</v>
      </c>
      <c r="C122" s="9" t="s">
        <v>151</v>
      </c>
      <c r="D122" s="9" t="s">
        <v>152</v>
      </c>
      <c r="E122" s="9"/>
      <c r="F122" s="8">
        <v>0.4</v>
      </c>
      <c r="G122" s="8">
        <v>1</v>
      </c>
      <c r="H122" s="8">
        <v>1</v>
      </c>
      <c r="I122" s="8">
        <v>-13.5952533917603</v>
      </c>
    </row>
    <row r="123" spans="1:9" ht="29" x14ac:dyDescent="0.35">
      <c r="A123" s="7" t="s">
        <v>150</v>
      </c>
      <c r="B123" s="8" t="s">
        <v>13</v>
      </c>
      <c r="C123" s="9" t="s">
        <v>151</v>
      </c>
      <c r="D123" s="9" t="s">
        <v>152</v>
      </c>
      <c r="E123" s="9" t="s">
        <v>153</v>
      </c>
      <c r="F123" s="8">
        <v>0.4</v>
      </c>
      <c r="G123" s="8">
        <v>0.4</v>
      </c>
      <c r="H123" s="8">
        <v>0.6</v>
      </c>
      <c r="I123" s="8">
        <v>-9.43072245959908</v>
      </c>
    </row>
    <row r="124" spans="1:9" ht="29" x14ac:dyDescent="0.35">
      <c r="A124" s="7" t="s">
        <v>150</v>
      </c>
      <c r="B124" s="8" t="s">
        <v>15</v>
      </c>
      <c r="C124" s="9" t="s">
        <v>151</v>
      </c>
      <c r="D124" s="9" t="s">
        <v>152</v>
      </c>
      <c r="E124" s="9" t="s">
        <v>154</v>
      </c>
      <c r="F124" s="8">
        <v>0.4</v>
      </c>
      <c r="G124" s="8">
        <v>0.4</v>
      </c>
      <c r="H124" s="8">
        <v>0.6</v>
      </c>
      <c r="I124" s="8">
        <v>-9.43218503352856</v>
      </c>
    </row>
    <row r="125" spans="1:9" ht="29" x14ac:dyDescent="0.35">
      <c r="A125" s="7" t="s">
        <v>150</v>
      </c>
      <c r="B125" s="8" t="s">
        <v>17</v>
      </c>
      <c r="C125" s="9" t="s">
        <v>151</v>
      </c>
      <c r="D125" s="9" t="s">
        <v>152</v>
      </c>
      <c r="E125" s="9" t="s">
        <v>151</v>
      </c>
      <c r="F125" s="8">
        <v>0.4</v>
      </c>
      <c r="G125" s="8">
        <v>0</v>
      </c>
      <c r="H125" s="8">
        <v>0.4</v>
      </c>
      <c r="I125" s="8">
        <v>-3.92022340768668</v>
      </c>
    </row>
    <row r="126" spans="1:9" ht="43.5" x14ac:dyDescent="0.35">
      <c r="A126" s="7" t="s">
        <v>150</v>
      </c>
      <c r="B126" s="8" t="s">
        <v>19</v>
      </c>
      <c r="C126" s="9" t="s">
        <v>151</v>
      </c>
      <c r="D126" s="9" t="s">
        <v>152</v>
      </c>
      <c r="E126" s="9" t="s">
        <v>155</v>
      </c>
      <c r="F126" s="8">
        <v>0.4</v>
      </c>
      <c r="G126" s="8">
        <v>1.4</v>
      </c>
      <c r="H126" s="8">
        <v>1.4</v>
      </c>
      <c r="I126" s="8">
        <v>-9.7534612975716097</v>
      </c>
    </row>
    <row r="127" spans="1:9" ht="72.5" x14ac:dyDescent="0.35">
      <c r="A127" s="7" t="s">
        <v>156</v>
      </c>
      <c r="B127" s="8" t="s">
        <v>10</v>
      </c>
      <c r="C127" s="9" t="s">
        <v>157</v>
      </c>
      <c r="D127" s="9" t="s">
        <v>158</v>
      </c>
      <c r="E127" s="9"/>
      <c r="F127" s="8">
        <v>0.14285714285714199</v>
      </c>
      <c r="G127" s="8">
        <v>1</v>
      </c>
      <c r="H127" s="8">
        <v>1</v>
      </c>
      <c r="I127" s="8">
        <v>-21.6698887541875</v>
      </c>
    </row>
    <row r="128" spans="1:9" ht="87" x14ac:dyDescent="0.35">
      <c r="A128" s="7" t="s">
        <v>156</v>
      </c>
      <c r="B128" s="8" t="s">
        <v>13</v>
      </c>
      <c r="C128" s="9" t="s">
        <v>157</v>
      </c>
      <c r="D128" s="9" t="s">
        <v>158</v>
      </c>
      <c r="E128" s="9" t="s">
        <v>159</v>
      </c>
      <c r="F128" s="8">
        <v>0.14285714285714199</v>
      </c>
      <c r="G128" s="8">
        <v>0.35714285714285698</v>
      </c>
      <c r="H128" s="8">
        <v>0.42857142857142799</v>
      </c>
      <c r="I128" s="8">
        <v>-17.424851702610301</v>
      </c>
    </row>
    <row r="129" spans="1:9" ht="87" x14ac:dyDescent="0.35">
      <c r="A129" s="7" t="s">
        <v>156</v>
      </c>
      <c r="B129" s="8" t="s">
        <v>15</v>
      </c>
      <c r="C129" s="9" t="s">
        <v>157</v>
      </c>
      <c r="D129" s="9" t="s">
        <v>158</v>
      </c>
      <c r="E129" s="9" t="s">
        <v>160</v>
      </c>
      <c r="F129" s="8">
        <v>0.14285714285714199</v>
      </c>
      <c r="G129" s="8">
        <v>7.1428571428571397E-2</v>
      </c>
      <c r="H129" s="8">
        <v>0.214285714285714</v>
      </c>
      <c r="I129" s="8">
        <v>-17.424839709927198</v>
      </c>
    </row>
    <row r="130" spans="1:9" ht="72.5" x14ac:dyDescent="0.35">
      <c r="A130" s="7" t="s">
        <v>156</v>
      </c>
      <c r="B130" s="8" t="s">
        <v>17</v>
      </c>
      <c r="C130" s="9" t="s">
        <v>157</v>
      </c>
      <c r="D130" s="9" t="s">
        <v>158</v>
      </c>
      <c r="E130" s="9" t="s">
        <v>161</v>
      </c>
      <c r="F130" s="8">
        <v>0.14285714285714199</v>
      </c>
      <c r="G130" s="8">
        <v>0.214285714285714</v>
      </c>
      <c r="H130" s="8">
        <v>0.14285714285714199</v>
      </c>
      <c r="I130" s="8">
        <v>-11.837511150677001</v>
      </c>
    </row>
    <row r="131" spans="1:9" ht="72.5" x14ac:dyDescent="0.35">
      <c r="A131" s="7" t="s">
        <v>156</v>
      </c>
      <c r="B131" s="8" t="s">
        <v>19</v>
      </c>
      <c r="C131" s="9" t="s">
        <v>157</v>
      </c>
      <c r="D131" s="9" t="s">
        <v>158</v>
      </c>
      <c r="E131" s="9" t="s">
        <v>162</v>
      </c>
      <c r="F131" s="8">
        <v>0.14285714285714199</v>
      </c>
      <c r="G131" s="8">
        <v>0.35714285714285698</v>
      </c>
      <c r="H131" s="8">
        <v>0.42857142857142799</v>
      </c>
      <c r="I131" s="8">
        <v>-17.757682791887198</v>
      </c>
    </row>
    <row r="132" spans="1:9" ht="29" x14ac:dyDescent="0.35">
      <c r="A132" s="7" t="s">
        <v>163</v>
      </c>
      <c r="B132" s="8" t="s">
        <v>10</v>
      </c>
      <c r="C132" s="9" t="s">
        <v>164</v>
      </c>
      <c r="D132" s="9" t="s">
        <v>165</v>
      </c>
      <c r="E132" s="9"/>
      <c r="F132" s="8">
        <v>0.25</v>
      </c>
      <c r="G132" s="8">
        <v>1</v>
      </c>
      <c r="H132" s="8">
        <v>1</v>
      </c>
      <c r="I132" s="8">
        <v>-11.958959392297199</v>
      </c>
    </row>
    <row r="133" spans="1:9" ht="29" x14ac:dyDescent="0.35">
      <c r="A133" s="7" t="s">
        <v>163</v>
      </c>
      <c r="B133" s="8" t="s">
        <v>13</v>
      </c>
      <c r="C133" s="9" t="s">
        <v>164</v>
      </c>
      <c r="D133" s="9" t="s">
        <v>165</v>
      </c>
      <c r="E133" s="9" t="s">
        <v>165</v>
      </c>
      <c r="F133" s="8">
        <v>0.25</v>
      </c>
      <c r="G133" s="8">
        <v>0.25</v>
      </c>
      <c r="H133" s="8">
        <v>0</v>
      </c>
      <c r="I133" s="8">
        <v>-7.8232526755192202</v>
      </c>
    </row>
    <row r="134" spans="1:9" ht="29" x14ac:dyDescent="0.35">
      <c r="A134" s="7" t="s">
        <v>163</v>
      </c>
      <c r="B134" s="8" t="s">
        <v>15</v>
      </c>
      <c r="C134" s="9" t="s">
        <v>164</v>
      </c>
      <c r="D134" s="9" t="s">
        <v>165</v>
      </c>
      <c r="E134" s="9" t="s">
        <v>165</v>
      </c>
      <c r="F134" s="8">
        <v>0.25</v>
      </c>
      <c r="G134" s="8">
        <v>0.25</v>
      </c>
      <c r="H134" s="8">
        <v>0</v>
      </c>
      <c r="I134" s="8">
        <v>-7.82468849143239</v>
      </c>
    </row>
    <row r="135" spans="1:9" ht="29" x14ac:dyDescent="0.35">
      <c r="A135" s="7" t="s">
        <v>163</v>
      </c>
      <c r="B135" s="8" t="s">
        <v>17</v>
      </c>
      <c r="C135" s="9" t="s">
        <v>164</v>
      </c>
      <c r="D135" s="9" t="s">
        <v>165</v>
      </c>
      <c r="E135" s="9" t="s">
        <v>166</v>
      </c>
      <c r="F135" s="8">
        <v>0.25</v>
      </c>
      <c r="G135" s="8">
        <v>0.5</v>
      </c>
      <c r="H135" s="8">
        <v>0.25</v>
      </c>
      <c r="I135" s="8">
        <v>-1.88863448374364</v>
      </c>
    </row>
    <row r="136" spans="1:9" ht="29" x14ac:dyDescent="0.35">
      <c r="A136" s="7" t="s">
        <v>163</v>
      </c>
      <c r="B136" s="8" t="s">
        <v>19</v>
      </c>
      <c r="C136" s="9" t="s">
        <v>164</v>
      </c>
      <c r="D136" s="9" t="s">
        <v>165</v>
      </c>
      <c r="E136" s="9" t="s">
        <v>165</v>
      </c>
      <c r="F136" s="8">
        <v>0.25</v>
      </c>
      <c r="G136" s="8">
        <v>0.25</v>
      </c>
      <c r="H136" s="8">
        <v>0</v>
      </c>
      <c r="I136" s="8">
        <v>-8.1325121031447907</v>
      </c>
    </row>
    <row r="137" spans="1:9" ht="101.5" x14ac:dyDescent="0.35">
      <c r="A137" s="7" t="s">
        <v>167</v>
      </c>
      <c r="B137" s="8" t="s">
        <v>10</v>
      </c>
      <c r="C137" s="9" t="s">
        <v>168</v>
      </c>
      <c r="D137" s="9" t="s">
        <v>169</v>
      </c>
      <c r="E137" s="9"/>
      <c r="F137" s="8">
        <v>0.2</v>
      </c>
      <c r="G137" s="8">
        <v>1</v>
      </c>
      <c r="H137" s="8">
        <v>1</v>
      </c>
      <c r="I137" s="8">
        <v>-12.6966462964578</v>
      </c>
    </row>
    <row r="138" spans="1:9" ht="116" x14ac:dyDescent="0.35">
      <c r="A138" s="7" t="s">
        <v>167</v>
      </c>
      <c r="B138" s="8" t="s">
        <v>13</v>
      </c>
      <c r="C138" s="9" t="s">
        <v>168</v>
      </c>
      <c r="D138" s="9" t="s">
        <v>169</v>
      </c>
      <c r="E138" s="9" t="s">
        <v>170</v>
      </c>
      <c r="F138" s="8">
        <v>0.2</v>
      </c>
      <c r="G138" s="8">
        <v>0.133333333333333</v>
      </c>
      <c r="H138" s="8">
        <v>6.6666666666666596E-2</v>
      </c>
      <c r="I138" s="8">
        <v>-8.5356205760509294</v>
      </c>
    </row>
    <row r="139" spans="1:9" ht="130.5" x14ac:dyDescent="0.35">
      <c r="A139" s="7" t="s">
        <v>167</v>
      </c>
      <c r="B139" s="8" t="s">
        <v>15</v>
      </c>
      <c r="C139" s="9" t="s">
        <v>168</v>
      </c>
      <c r="D139" s="9" t="s">
        <v>169</v>
      </c>
      <c r="E139" s="9" t="s">
        <v>171</v>
      </c>
      <c r="F139" s="8">
        <v>0.2</v>
      </c>
      <c r="G139" s="8">
        <v>0.33333333333333298</v>
      </c>
      <c r="H139" s="8">
        <v>0.2</v>
      </c>
      <c r="I139" s="8">
        <v>-8.5358993890526307</v>
      </c>
    </row>
    <row r="140" spans="1:9" ht="116" x14ac:dyDescent="0.35">
      <c r="A140" s="7" t="s">
        <v>167</v>
      </c>
      <c r="B140" s="8" t="s">
        <v>17</v>
      </c>
      <c r="C140" s="9" t="s">
        <v>168</v>
      </c>
      <c r="D140" s="9" t="s">
        <v>169</v>
      </c>
      <c r="E140" s="9" t="s">
        <v>172</v>
      </c>
      <c r="F140" s="8">
        <v>0.2</v>
      </c>
      <c r="G140" s="8">
        <v>0.4</v>
      </c>
      <c r="H140" s="8">
        <v>0.2</v>
      </c>
      <c r="I140" s="8">
        <v>-2.7197083490078402</v>
      </c>
    </row>
    <row r="141" spans="1:9" ht="101.5" x14ac:dyDescent="0.35">
      <c r="A141" s="7" t="s">
        <v>167</v>
      </c>
      <c r="B141" s="8" t="s">
        <v>19</v>
      </c>
      <c r="C141" s="9" t="s">
        <v>168</v>
      </c>
      <c r="D141" s="9" t="s">
        <v>169</v>
      </c>
      <c r="E141" s="9" t="s">
        <v>173</v>
      </c>
      <c r="F141" s="8">
        <v>0.2</v>
      </c>
      <c r="G141" s="8">
        <v>0.53333333333333299</v>
      </c>
      <c r="H141" s="8">
        <v>0.46666666666666601</v>
      </c>
      <c r="I141" s="8">
        <v>-8.8488032316084499</v>
      </c>
    </row>
    <row r="142" spans="1:9" ht="29" x14ac:dyDescent="0.35">
      <c r="A142" s="7" t="s">
        <v>174</v>
      </c>
      <c r="B142" s="8" t="s">
        <v>10</v>
      </c>
      <c r="C142" s="9" t="s">
        <v>175</v>
      </c>
      <c r="D142" s="9" t="s">
        <v>176</v>
      </c>
      <c r="E142" s="9"/>
      <c r="F142" s="8">
        <v>0.125</v>
      </c>
      <c r="G142" s="8">
        <v>1</v>
      </c>
      <c r="H142" s="8">
        <v>1</v>
      </c>
      <c r="I142" s="8">
        <v>-16.187712671425</v>
      </c>
    </row>
    <row r="143" spans="1:9" ht="29" x14ac:dyDescent="0.35">
      <c r="A143" s="7" t="s">
        <v>174</v>
      </c>
      <c r="B143" s="8" t="s">
        <v>13</v>
      </c>
      <c r="C143" s="9" t="s">
        <v>175</v>
      </c>
      <c r="D143" s="9" t="s">
        <v>176</v>
      </c>
      <c r="E143" s="9" t="s">
        <v>176</v>
      </c>
      <c r="F143" s="8">
        <v>0.125</v>
      </c>
      <c r="G143" s="8">
        <v>0.125</v>
      </c>
      <c r="H143" s="8">
        <v>0</v>
      </c>
      <c r="I143" s="8">
        <v>-11.9179599408277</v>
      </c>
    </row>
    <row r="144" spans="1:9" ht="29" x14ac:dyDescent="0.35">
      <c r="A144" s="7" t="s">
        <v>174</v>
      </c>
      <c r="B144" s="8" t="s">
        <v>15</v>
      </c>
      <c r="C144" s="9" t="s">
        <v>175</v>
      </c>
      <c r="D144" s="9" t="s">
        <v>176</v>
      </c>
      <c r="E144" s="9" t="s">
        <v>177</v>
      </c>
      <c r="F144" s="8">
        <v>0.125</v>
      </c>
      <c r="G144" s="8">
        <v>0.375</v>
      </c>
      <c r="H144" s="8">
        <v>0.25</v>
      </c>
      <c r="I144" s="8">
        <v>-11.9180012329465</v>
      </c>
    </row>
    <row r="145" spans="1:9" ht="29" x14ac:dyDescent="0.35">
      <c r="A145" s="7" t="s">
        <v>174</v>
      </c>
      <c r="B145" s="8" t="s">
        <v>17</v>
      </c>
      <c r="C145" s="9" t="s">
        <v>175</v>
      </c>
      <c r="D145" s="9" t="s">
        <v>176</v>
      </c>
      <c r="E145" s="9" t="s">
        <v>178</v>
      </c>
      <c r="F145" s="8">
        <v>0.125</v>
      </c>
      <c r="G145" s="8">
        <v>0.25</v>
      </c>
      <c r="H145" s="8">
        <v>0.375</v>
      </c>
      <c r="I145" s="8">
        <v>-6.1405887380649196</v>
      </c>
    </row>
    <row r="146" spans="1:9" ht="43.5" x14ac:dyDescent="0.35">
      <c r="A146" s="7" t="s">
        <v>174</v>
      </c>
      <c r="B146" s="8" t="s">
        <v>19</v>
      </c>
      <c r="C146" s="9" t="s">
        <v>175</v>
      </c>
      <c r="D146" s="9" t="s">
        <v>176</v>
      </c>
      <c r="E146" s="9" t="s">
        <v>179</v>
      </c>
      <c r="F146" s="8">
        <v>0.125</v>
      </c>
      <c r="G146" s="8">
        <v>0.625</v>
      </c>
      <c r="H146" s="8">
        <v>0.625</v>
      </c>
      <c r="I146" s="8">
        <v>-12.244761878737201</v>
      </c>
    </row>
    <row r="147" spans="1:9" ht="29" x14ac:dyDescent="0.35">
      <c r="A147" s="7" t="s">
        <v>180</v>
      </c>
      <c r="B147" s="8" t="s">
        <v>10</v>
      </c>
      <c r="C147" s="9" t="s">
        <v>181</v>
      </c>
      <c r="D147" s="9" t="s">
        <v>182</v>
      </c>
      <c r="E147" s="9"/>
      <c r="F147" s="8">
        <v>0.5</v>
      </c>
      <c r="G147" s="8">
        <v>1</v>
      </c>
      <c r="H147" s="8">
        <v>1</v>
      </c>
      <c r="I147" s="8">
        <v>-16.639779985555101</v>
      </c>
    </row>
    <row r="148" spans="1:9" ht="29" x14ac:dyDescent="0.35">
      <c r="A148" s="7" t="s">
        <v>180</v>
      </c>
      <c r="B148" s="8" t="s">
        <v>13</v>
      </c>
      <c r="C148" s="9" t="s">
        <v>181</v>
      </c>
      <c r="D148" s="9" t="s">
        <v>182</v>
      </c>
      <c r="E148" s="9" t="s">
        <v>182</v>
      </c>
      <c r="F148" s="8">
        <v>0.5</v>
      </c>
      <c r="G148" s="8">
        <v>0.5</v>
      </c>
      <c r="H148" s="8">
        <v>0</v>
      </c>
      <c r="I148" s="8">
        <v>-12.368320046607501</v>
      </c>
    </row>
    <row r="149" spans="1:9" ht="29" x14ac:dyDescent="0.35">
      <c r="A149" s="7" t="s">
        <v>180</v>
      </c>
      <c r="B149" s="8" t="s">
        <v>15</v>
      </c>
      <c r="C149" s="9" t="s">
        <v>181</v>
      </c>
      <c r="D149" s="9" t="s">
        <v>182</v>
      </c>
      <c r="E149" s="9" t="s">
        <v>183</v>
      </c>
      <c r="F149" s="8">
        <v>0.5</v>
      </c>
      <c r="G149" s="8">
        <v>0.66666666666666596</v>
      </c>
      <c r="H149" s="8">
        <v>0.4</v>
      </c>
      <c r="I149" s="8">
        <v>-12.3688481281426</v>
      </c>
    </row>
    <row r="150" spans="1:9" ht="29" x14ac:dyDescent="0.35">
      <c r="A150" s="7" t="s">
        <v>180</v>
      </c>
      <c r="B150" s="8" t="s">
        <v>17</v>
      </c>
      <c r="C150" s="9" t="s">
        <v>181</v>
      </c>
      <c r="D150" s="9" t="s">
        <v>182</v>
      </c>
      <c r="E150" s="9" t="s">
        <v>182</v>
      </c>
      <c r="F150" s="8">
        <v>0.5</v>
      </c>
      <c r="G150" s="8">
        <v>0.5</v>
      </c>
      <c r="H150" s="8">
        <v>0</v>
      </c>
      <c r="I150" s="8">
        <v>-6.5527195436238204</v>
      </c>
    </row>
    <row r="151" spans="1:9" ht="29" x14ac:dyDescent="0.35">
      <c r="A151" s="7" t="s">
        <v>180</v>
      </c>
      <c r="B151" s="8" t="s">
        <v>19</v>
      </c>
      <c r="C151" s="9" t="s">
        <v>181</v>
      </c>
      <c r="D151" s="9" t="s">
        <v>182</v>
      </c>
      <c r="E151" s="9" t="s">
        <v>182</v>
      </c>
      <c r="F151" s="8">
        <v>0.5</v>
      </c>
      <c r="G151" s="8">
        <v>0.5</v>
      </c>
      <c r="H151" s="8">
        <v>0</v>
      </c>
      <c r="I151" s="8">
        <v>-12.7009136017311</v>
      </c>
    </row>
    <row r="152" spans="1:9" ht="145" x14ac:dyDescent="0.35">
      <c r="A152" s="7" t="s">
        <v>184</v>
      </c>
      <c r="B152" s="8" t="s">
        <v>10</v>
      </c>
      <c r="C152" s="9" t="s">
        <v>185</v>
      </c>
      <c r="D152" s="9" t="s">
        <v>186</v>
      </c>
      <c r="E152" s="9" t="s">
        <v>187</v>
      </c>
      <c r="F152" s="8">
        <v>0.57894736842105199</v>
      </c>
      <c r="G152" s="8">
        <v>1.31578947368421</v>
      </c>
      <c r="H152" s="8">
        <v>1.125</v>
      </c>
      <c r="I152" s="8">
        <v>-10.746440663207901</v>
      </c>
    </row>
    <row r="153" spans="1:9" ht="145" x14ac:dyDescent="0.35">
      <c r="A153" s="7" t="s">
        <v>184</v>
      </c>
      <c r="B153" s="8" t="s">
        <v>13</v>
      </c>
      <c r="C153" s="9" t="s">
        <v>185</v>
      </c>
      <c r="D153" s="9" t="s">
        <v>186</v>
      </c>
      <c r="E153" s="9" t="s">
        <v>188</v>
      </c>
      <c r="F153" s="8">
        <v>0.57894736842105199</v>
      </c>
      <c r="G153" s="8">
        <v>0.47368421052631499</v>
      </c>
      <c r="H153" s="8">
        <v>0.25</v>
      </c>
      <c r="I153" s="8">
        <v>-6.5825396614271998</v>
      </c>
    </row>
    <row r="154" spans="1:9" ht="159.5" x14ac:dyDescent="0.35">
      <c r="A154" s="7" t="s">
        <v>184</v>
      </c>
      <c r="B154" s="8" t="s">
        <v>15</v>
      </c>
      <c r="C154" s="9" t="s">
        <v>185</v>
      </c>
      <c r="D154" s="9" t="s">
        <v>186</v>
      </c>
      <c r="E154" s="9" t="s">
        <v>189</v>
      </c>
      <c r="F154" s="8">
        <v>0.57894736842105199</v>
      </c>
      <c r="G154" s="8">
        <v>0.68421052631578905</v>
      </c>
      <c r="H154" s="8">
        <v>0.45833333333333298</v>
      </c>
      <c r="I154" s="8">
        <v>-6.58383033611688</v>
      </c>
    </row>
    <row r="155" spans="1:9" ht="145" x14ac:dyDescent="0.35">
      <c r="A155" s="7" t="s">
        <v>184</v>
      </c>
      <c r="B155" s="8" t="s">
        <v>17</v>
      </c>
      <c r="C155" s="9" t="s">
        <v>185</v>
      </c>
      <c r="D155" s="9" t="s">
        <v>186</v>
      </c>
      <c r="E155" s="9" t="s">
        <v>190</v>
      </c>
      <c r="F155" s="8">
        <v>0.57894736842105199</v>
      </c>
      <c r="G155" s="8">
        <v>0.52631578947368396</v>
      </c>
      <c r="H155" s="8">
        <v>0.25</v>
      </c>
      <c r="I155" s="8">
        <v>-0.77373210893222599</v>
      </c>
    </row>
    <row r="156" spans="1:9" ht="159.5" x14ac:dyDescent="0.35">
      <c r="A156" s="7" t="s">
        <v>184</v>
      </c>
      <c r="B156" s="8" t="s">
        <v>19</v>
      </c>
      <c r="C156" s="9" t="s">
        <v>185</v>
      </c>
      <c r="D156" s="9" t="s">
        <v>186</v>
      </c>
      <c r="E156" s="9" t="s">
        <v>191</v>
      </c>
      <c r="F156" s="8">
        <v>0.57894736842105199</v>
      </c>
      <c r="G156" s="8">
        <v>1</v>
      </c>
      <c r="H156" s="8">
        <v>0.91666666666666596</v>
      </c>
      <c r="I156" s="8">
        <v>-6.88771008784137</v>
      </c>
    </row>
    <row r="157" spans="1:9" ht="58" x14ac:dyDescent="0.35">
      <c r="A157" s="7" t="s">
        <v>192</v>
      </c>
      <c r="B157" s="8" t="s">
        <v>10</v>
      </c>
      <c r="C157" s="9" t="s">
        <v>193</v>
      </c>
      <c r="D157" s="9" t="s">
        <v>194</v>
      </c>
      <c r="E157" s="9"/>
      <c r="F157" s="8">
        <v>0.33333333333333298</v>
      </c>
      <c r="G157" s="8">
        <v>1</v>
      </c>
      <c r="H157" s="8">
        <v>1</v>
      </c>
      <c r="I157" s="8">
        <v>-23.863224782027601</v>
      </c>
    </row>
    <row r="158" spans="1:9" ht="72.5" x14ac:dyDescent="0.35">
      <c r="A158" s="7" t="s">
        <v>192</v>
      </c>
      <c r="B158" s="8" t="s">
        <v>13</v>
      </c>
      <c r="C158" s="9" t="s">
        <v>193</v>
      </c>
      <c r="D158" s="9" t="s">
        <v>194</v>
      </c>
      <c r="E158" s="9" t="s">
        <v>195</v>
      </c>
      <c r="F158" s="8">
        <v>0.33333333333333298</v>
      </c>
      <c r="G158" s="8">
        <v>0.44444444444444398</v>
      </c>
      <c r="H158" s="8">
        <v>0.44444444444444398</v>
      </c>
      <c r="I158" s="8">
        <v>-19.595902163421901</v>
      </c>
    </row>
    <row r="159" spans="1:9" ht="58" x14ac:dyDescent="0.35">
      <c r="A159" s="7" t="s">
        <v>192</v>
      </c>
      <c r="B159" s="8" t="s">
        <v>15</v>
      </c>
      <c r="C159" s="9" t="s">
        <v>193</v>
      </c>
      <c r="D159" s="9" t="s">
        <v>194</v>
      </c>
      <c r="E159" s="9" t="s">
        <v>196</v>
      </c>
      <c r="F159" s="8">
        <v>0.33333333333333298</v>
      </c>
      <c r="G159" s="8">
        <v>0.33333333333333298</v>
      </c>
      <c r="H159" s="8">
        <v>0.22222222222222199</v>
      </c>
      <c r="I159" s="8">
        <v>-19.596493425412401</v>
      </c>
    </row>
    <row r="160" spans="1:9" ht="72.5" x14ac:dyDescent="0.35">
      <c r="A160" s="7" t="s">
        <v>192</v>
      </c>
      <c r="B160" s="8" t="s">
        <v>17</v>
      </c>
      <c r="C160" s="9" t="s">
        <v>193</v>
      </c>
      <c r="D160" s="9" t="s">
        <v>194</v>
      </c>
      <c r="E160" s="9" t="s">
        <v>197</v>
      </c>
      <c r="F160" s="8">
        <v>0.33333333333333298</v>
      </c>
      <c r="G160" s="8">
        <v>0.88888888888888795</v>
      </c>
      <c r="H160" s="8">
        <v>0.88888888888888795</v>
      </c>
      <c r="I160" s="8">
        <v>-14.0112950875967</v>
      </c>
    </row>
    <row r="161" spans="1:9" ht="72.5" x14ac:dyDescent="0.35">
      <c r="A161" s="7" t="s">
        <v>192</v>
      </c>
      <c r="B161" s="8" t="s">
        <v>19</v>
      </c>
      <c r="C161" s="9" t="s">
        <v>193</v>
      </c>
      <c r="D161" s="9" t="s">
        <v>194</v>
      </c>
      <c r="E161" s="9" t="s">
        <v>198</v>
      </c>
      <c r="F161" s="8">
        <v>0.33333333333333298</v>
      </c>
      <c r="G161" s="8">
        <v>1.2222222222222201</v>
      </c>
      <c r="H161" s="8">
        <v>1.2222222222222201</v>
      </c>
      <c r="I161" s="8">
        <v>-19.929741665500899</v>
      </c>
    </row>
    <row r="162" spans="1:9" ht="58" x14ac:dyDescent="0.35">
      <c r="A162" s="7" t="s">
        <v>199</v>
      </c>
      <c r="B162" s="8" t="s">
        <v>10</v>
      </c>
      <c r="C162" s="9" t="s">
        <v>200</v>
      </c>
      <c r="D162" s="9" t="s">
        <v>201</v>
      </c>
      <c r="E162" s="9"/>
      <c r="F162" s="8">
        <v>0.33333333333333298</v>
      </c>
      <c r="G162" s="8">
        <v>1</v>
      </c>
      <c r="H162" s="8">
        <v>1</v>
      </c>
      <c r="I162" s="8">
        <v>-10.4788550635208</v>
      </c>
    </row>
    <row r="163" spans="1:9" ht="58" x14ac:dyDescent="0.35">
      <c r="A163" s="7" t="s">
        <v>199</v>
      </c>
      <c r="B163" s="8" t="s">
        <v>13</v>
      </c>
      <c r="C163" s="9" t="s">
        <v>200</v>
      </c>
      <c r="D163" s="9" t="s">
        <v>201</v>
      </c>
      <c r="E163" s="9" t="s">
        <v>201</v>
      </c>
      <c r="F163" s="8">
        <v>0.33333333333333298</v>
      </c>
      <c r="G163" s="8">
        <v>0.33333333333333298</v>
      </c>
      <c r="H163" s="8">
        <v>0</v>
      </c>
      <c r="I163" s="8">
        <v>-6.2953355543455398</v>
      </c>
    </row>
    <row r="164" spans="1:9" ht="58" x14ac:dyDescent="0.35">
      <c r="A164" s="7" t="s">
        <v>199</v>
      </c>
      <c r="B164" s="8" t="s">
        <v>15</v>
      </c>
      <c r="C164" s="9" t="s">
        <v>200</v>
      </c>
      <c r="D164" s="9" t="s">
        <v>201</v>
      </c>
      <c r="E164" s="9" t="s">
        <v>202</v>
      </c>
      <c r="F164" s="8">
        <v>0.33333333333333298</v>
      </c>
      <c r="G164" s="8">
        <v>0.77777777777777701</v>
      </c>
      <c r="H164" s="8">
        <v>0.55555555555555503</v>
      </c>
      <c r="I164" s="8">
        <v>-6.2939493953056003</v>
      </c>
    </row>
    <row r="165" spans="1:9" ht="58" x14ac:dyDescent="0.35">
      <c r="A165" s="7" t="s">
        <v>199</v>
      </c>
      <c r="B165" s="8" t="s">
        <v>17</v>
      </c>
      <c r="C165" s="9" t="s">
        <v>200</v>
      </c>
      <c r="D165" s="9" t="s">
        <v>201</v>
      </c>
      <c r="E165" s="9" t="s">
        <v>201</v>
      </c>
      <c r="F165" s="8">
        <v>0.33333333333333298</v>
      </c>
      <c r="G165" s="8">
        <v>0.33333333333333298</v>
      </c>
      <c r="H165" s="8">
        <v>0</v>
      </c>
      <c r="I165" s="8">
        <v>-0.54439728707807</v>
      </c>
    </row>
    <row r="166" spans="1:9" ht="58" x14ac:dyDescent="0.35">
      <c r="A166" s="7" t="s">
        <v>199</v>
      </c>
      <c r="B166" s="8" t="s">
        <v>19</v>
      </c>
      <c r="C166" s="9" t="s">
        <v>200</v>
      </c>
      <c r="D166" s="9" t="s">
        <v>201</v>
      </c>
      <c r="E166" s="9" t="s">
        <v>203</v>
      </c>
      <c r="F166" s="8">
        <v>0.33333333333333298</v>
      </c>
      <c r="G166" s="8">
        <v>0.66666666666666596</v>
      </c>
      <c r="H166" s="8">
        <v>0.44444444444444398</v>
      </c>
      <c r="I166" s="8">
        <v>-6.5979032528875896</v>
      </c>
    </row>
    <row r="167" spans="1:9" ht="87" x14ac:dyDescent="0.35">
      <c r="A167" s="7" t="s">
        <v>204</v>
      </c>
      <c r="B167" s="8" t="s">
        <v>10</v>
      </c>
      <c r="C167" s="9" t="s">
        <v>205</v>
      </c>
      <c r="D167" s="9" t="s">
        <v>206</v>
      </c>
      <c r="E167" s="9"/>
      <c r="F167" s="8">
        <v>9.0909090909090898E-2</v>
      </c>
      <c r="G167" s="8">
        <v>1</v>
      </c>
      <c r="H167" s="8">
        <v>1</v>
      </c>
      <c r="I167" s="8">
        <v>-13.512100704891299</v>
      </c>
    </row>
    <row r="168" spans="1:9" ht="116" x14ac:dyDescent="0.35">
      <c r="A168" s="7" t="s">
        <v>204</v>
      </c>
      <c r="B168" s="8" t="s">
        <v>13</v>
      </c>
      <c r="C168" s="9" t="s">
        <v>205</v>
      </c>
      <c r="D168" s="9" t="s">
        <v>206</v>
      </c>
      <c r="E168" s="9" t="s">
        <v>206</v>
      </c>
      <c r="F168" s="8">
        <v>9.0909090909090898E-2</v>
      </c>
      <c r="G168" s="8">
        <v>9.0909090909090898E-2</v>
      </c>
      <c r="H168" s="8">
        <v>0</v>
      </c>
      <c r="I168" s="8">
        <v>-9.3273301986357797</v>
      </c>
    </row>
    <row r="169" spans="1:9" ht="116" x14ac:dyDescent="0.35">
      <c r="A169" s="7" t="s">
        <v>204</v>
      </c>
      <c r="B169" s="8" t="s">
        <v>15</v>
      </c>
      <c r="C169" s="9" t="s">
        <v>205</v>
      </c>
      <c r="D169" s="9" t="s">
        <v>206</v>
      </c>
      <c r="E169" s="9" t="s">
        <v>206</v>
      </c>
      <c r="F169" s="8">
        <v>9.0909090909090898E-2</v>
      </c>
      <c r="G169" s="8">
        <v>9.0909090909090898E-2</v>
      </c>
      <c r="H169" s="8">
        <v>0</v>
      </c>
      <c r="I169" s="8">
        <v>-9.32719067589818</v>
      </c>
    </row>
    <row r="170" spans="1:9" ht="116" x14ac:dyDescent="0.35">
      <c r="A170" s="7" t="s">
        <v>204</v>
      </c>
      <c r="B170" s="8" t="s">
        <v>17</v>
      </c>
      <c r="C170" s="9" t="s">
        <v>205</v>
      </c>
      <c r="D170" s="9" t="s">
        <v>206</v>
      </c>
      <c r="E170" s="9" t="s">
        <v>207</v>
      </c>
      <c r="F170" s="8">
        <v>9.0909090909090898E-2</v>
      </c>
      <c r="G170" s="8">
        <v>4.54545454545454E-2</v>
      </c>
      <c r="H170" s="8">
        <v>4.54545454545454E-2</v>
      </c>
      <c r="I170" s="8">
        <v>-3.6466829590758199</v>
      </c>
    </row>
    <row r="171" spans="1:9" ht="130.5" x14ac:dyDescent="0.35">
      <c r="A171" s="7" t="s">
        <v>204</v>
      </c>
      <c r="B171" s="8" t="s">
        <v>19</v>
      </c>
      <c r="C171" s="9" t="s">
        <v>205</v>
      </c>
      <c r="D171" s="9" t="s">
        <v>206</v>
      </c>
      <c r="E171" s="9" t="s">
        <v>208</v>
      </c>
      <c r="F171" s="8">
        <v>9.0909090909090898E-2</v>
      </c>
      <c r="G171" s="8">
        <v>0.95454545454545403</v>
      </c>
      <c r="H171" s="8">
        <v>0.95454545454545403</v>
      </c>
      <c r="I171" s="8">
        <v>-9.6485293346087602</v>
      </c>
    </row>
    <row r="172" spans="1:9" ht="58" x14ac:dyDescent="0.35">
      <c r="A172" s="7" t="s">
        <v>209</v>
      </c>
      <c r="B172" s="8" t="s">
        <v>10</v>
      </c>
      <c r="C172" s="9" t="s">
        <v>210</v>
      </c>
      <c r="D172" s="9" t="s">
        <v>211</v>
      </c>
      <c r="E172" s="9"/>
      <c r="F172" s="8">
        <v>9.0909090909090898E-2</v>
      </c>
      <c r="G172" s="8">
        <v>1</v>
      </c>
      <c r="H172" s="8">
        <v>1</v>
      </c>
      <c r="I172" s="8">
        <v>-15.828846125856399</v>
      </c>
    </row>
    <row r="173" spans="1:9" ht="72.5" x14ac:dyDescent="0.35">
      <c r="A173" s="7" t="s">
        <v>209</v>
      </c>
      <c r="B173" s="8" t="s">
        <v>13</v>
      </c>
      <c r="C173" s="9" t="s">
        <v>210</v>
      </c>
      <c r="D173" s="9" t="s">
        <v>211</v>
      </c>
      <c r="E173" s="9" t="s">
        <v>211</v>
      </c>
      <c r="F173" s="8">
        <v>9.0909090909090898E-2</v>
      </c>
      <c r="G173" s="8">
        <v>9.0909090909090898E-2</v>
      </c>
      <c r="H173" s="8">
        <v>0</v>
      </c>
      <c r="I173" s="8">
        <v>-11.6052247656958</v>
      </c>
    </row>
    <row r="174" spans="1:9" ht="72.5" x14ac:dyDescent="0.35">
      <c r="A174" s="7" t="s">
        <v>209</v>
      </c>
      <c r="B174" s="8" t="s">
        <v>15</v>
      </c>
      <c r="C174" s="9" t="s">
        <v>210</v>
      </c>
      <c r="D174" s="9" t="s">
        <v>211</v>
      </c>
      <c r="E174" s="9" t="s">
        <v>211</v>
      </c>
      <c r="F174" s="8">
        <v>9.0909090909090898E-2</v>
      </c>
      <c r="G174" s="8">
        <v>9.0909090909090898E-2</v>
      </c>
      <c r="H174" s="8">
        <v>0</v>
      </c>
      <c r="I174" s="8">
        <v>-11.6057743666283</v>
      </c>
    </row>
    <row r="175" spans="1:9" ht="58" x14ac:dyDescent="0.35">
      <c r="A175" s="7" t="s">
        <v>209</v>
      </c>
      <c r="B175" s="8" t="s">
        <v>17</v>
      </c>
      <c r="C175" s="9" t="s">
        <v>210</v>
      </c>
      <c r="D175" s="9" t="s">
        <v>211</v>
      </c>
      <c r="E175" s="9" t="s">
        <v>212</v>
      </c>
      <c r="F175" s="8">
        <v>9.0909090909090898E-2</v>
      </c>
      <c r="G175" s="8">
        <v>0.18181818181818099</v>
      </c>
      <c r="H175" s="8">
        <v>9.0909090909090898E-2</v>
      </c>
      <c r="I175" s="8">
        <v>-6.0274655663610197</v>
      </c>
    </row>
    <row r="176" spans="1:9" ht="58" x14ac:dyDescent="0.35">
      <c r="A176" s="7" t="s">
        <v>209</v>
      </c>
      <c r="B176" s="8" t="s">
        <v>19</v>
      </c>
      <c r="C176" s="9" t="s">
        <v>210</v>
      </c>
      <c r="D176" s="9" t="s">
        <v>211</v>
      </c>
      <c r="E176" s="9"/>
      <c r="F176" s="8">
        <v>9.0909090909090898E-2</v>
      </c>
      <c r="G176" s="8">
        <v>1</v>
      </c>
      <c r="H176" s="8">
        <v>1</v>
      </c>
      <c r="I176" s="8">
        <v>-11.932776321239601</v>
      </c>
    </row>
    <row r="177" spans="1:9" ht="29" x14ac:dyDescent="0.35">
      <c r="A177" s="7" t="s">
        <v>213</v>
      </c>
      <c r="B177" s="8" t="s">
        <v>10</v>
      </c>
      <c r="C177" s="9" t="s">
        <v>214</v>
      </c>
      <c r="D177" s="9" t="s">
        <v>215</v>
      </c>
      <c r="E177" s="9"/>
      <c r="F177" s="8">
        <v>0.2</v>
      </c>
      <c r="G177" s="8">
        <v>1</v>
      </c>
      <c r="H177" s="8">
        <v>1</v>
      </c>
      <c r="I177" s="8">
        <v>-15.448275330685</v>
      </c>
    </row>
    <row r="178" spans="1:9" ht="43.5" x14ac:dyDescent="0.35">
      <c r="A178" s="7" t="s">
        <v>213</v>
      </c>
      <c r="B178" s="8" t="s">
        <v>13</v>
      </c>
      <c r="C178" s="9" t="s">
        <v>214</v>
      </c>
      <c r="D178" s="9" t="s">
        <v>215</v>
      </c>
      <c r="E178" s="9" t="s">
        <v>216</v>
      </c>
      <c r="F178" s="8">
        <v>0.2</v>
      </c>
      <c r="G178" s="8">
        <v>0.4</v>
      </c>
      <c r="H178" s="8">
        <v>0.2</v>
      </c>
      <c r="I178" s="8">
        <v>-11.2647864377582</v>
      </c>
    </row>
    <row r="179" spans="1:9" ht="43.5" x14ac:dyDescent="0.35">
      <c r="A179" s="7" t="s">
        <v>213</v>
      </c>
      <c r="B179" s="8" t="s">
        <v>15</v>
      </c>
      <c r="C179" s="9" t="s">
        <v>214</v>
      </c>
      <c r="D179" s="9" t="s">
        <v>215</v>
      </c>
      <c r="E179" s="9" t="s">
        <v>216</v>
      </c>
      <c r="F179" s="8">
        <v>0.2</v>
      </c>
      <c r="G179" s="8">
        <v>0.4</v>
      </c>
      <c r="H179" s="8">
        <v>0.2</v>
      </c>
      <c r="I179" s="8">
        <v>-11.2654077329099</v>
      </c>
    </row>
    <row r="180" spans="1:9" ht="43.5" x14ac:dyDescent="0.35">
      <c r="A180" s="7" t="s">
        <v>213</v>
      </c>
      <c r="B180" s="8" t="s">
        <v>17</v>
      </c>
      <c r="C180" s="9" t="s">
        <v>214</v>
      </c>
      <c r="D180" s="9" t="s">
        <v>215</v>
      </c>
      <c r="E180" s="9" t="s">
        <v>215</v>
      </c>
      <c r="F180" s="8">
        <v>0.2</v>
      </c>
      <c r="G180" s="8">
        <v>0.2</v>
      </c>
      <c r="H180" s="8">
        <v>0</v>
      </c>
      <c r="I180" s="8">
        <v>-5.8715794060973003</v>
      </c>
    </row>
    <row r="181" spans="1:9" ht="43.5" x14ac:dyDescent="0.35">
      <c r="A181" s="7" t="s">
        <v>213</v>
      </c>
      <c r="B181" s="8" t="s">
        <v>19</v>
      </c>
      <c r="C181" s="9" t="s">
        <v>214</v>
      </c>
      <c r="D181" s="9" t="s">
        <v>215</v>
      </c>
      <c r="E181" s="9" t="s">
        <v>216</v>
      </c>
      <c r="F181" s="8">
        <v>0.2</v>
      </c>
      <c r="G181" s="8">
        <v>0.4</v>
      </c>
      <c r="H181" s="8">
        <v>0.2</v>
      </c>
      <c r="I181" s="8">
        <v>-11.5905277236107</v>
      </c>
    </row>
    <row r="182" spans="1:9" ht="72.5" x14ac:dyDescent="0.35">
      <c r="A182" s="7" t="s">
        <v>217</v>
      </c>
      <c r="B182" s="8" t="s">
        <v>10</v>
      </c>
      <c r="C182" s="9" t="s">
        <v>218</v>
      </c>
      <c r="D182" s="9" t="s">
        <v>219</v>
      </c>
      <c r="E182" s="9"/>
      <c r="F182" s="8">
        <v>0.1875</v>
      </c>
      <c r="G182" s="8">
        <v>1</v>
      </c>
      <c r="H182" s="8">
        <v>1</v>
      </c>
      <c r="I182" s="8">
        <v>-19.165187885558499</v>
      </c>
    </row>
    <row r="183" spans="1:9" ht="87" x14ac:dyDescent="0.35">
      <c r="A183" s="7" t="s">
        <v>217</v>
      </c>
      <c r="B183" s="8" t="s">
        <v>13</v>
      </c>
      <c r="C183" s="9" t="s">
        <v>218</v>
      </c>
      <c r="D183" s="9" t="s">
        <v>219</v>
      </c>
      <c r="E183" s="9" t="s">
        <v>220</v>
      </c>
      <c r="F183" s="8">
        <v>0.1875</v>
      </c>
      <c r="G183" s="8">
        <v>0.25</v>
      </c>
      <c r="H183" s="8">
        <v>6.25E-2</v>
      </c>
      <c r="I183" s="8">
        <v>-14.924540262946101</v>
      </c>
    </row>
    <row r="184" spans="1:9" ht="87" x14ac:dyDescent="0.35">
      <c r="A184" s="7" t="s">
        <v>217</v>
      </c>
      <c r="B184" s="8" t="s">
        <v>15</v>
      </c>
      <c r="C184" s="9" t="s">
        <v>218</v>
      </c>
      <c r="D184" s="9" t="s">
        <v>219</v>
      </c>
      <c r="E184" s="9" t="s">
        <v>219</v>
      </c>
      <c r="F184" s="8">
        <v>0.1875</v>
      </c>
      <c r="G184" s="8">
        <v>0.1875</v>
      </c>
      <c r="H184" s="8">
        <v>0</v>
      </c>
      <c r="I184" s="8">
        <v>-14.9240573204741</v>
      </c>
    </row>
    <row r="185" spans="1:9" ht="87" x14ac:dyDescent="0.35">
      <c r="A185" s="7" t="s">
        <v>217</v>
      </c>
      <c r="B185" s="8" t="s">
        <v>17</v>
      </c>
      <c r="C185" s="9" t="s">
        <v>218</v>
      </c>
      <c r="D185" s="9" t="s">
        <v>219</v>
      </c>
      <c r="E185" s="9" t="s">
        <v>219</v>
      </c>
      <c r="F185" s="8">
        <v>0.1875</v>
      </c>
      <c r="G185" s="8">
        <v>0.1875</v>
      </c>
      <c r="H185" s="8">
        <v>0</v>
      </c>
      <c r="I185" s="8">
        <v>-9.1735875692567994</v>
      </c>
    </row>
    <row r="186" spans="1:9" ht="87" x14ac:dyDescent="0.35">
      <c r="A186" s="7" t="s">
        <v>217</v>
      </c>
      <c r="B186" s="8" t="s">
        <v>19</v>
      </c>
      <c r="C186" s="9" t="s">
        <v>218</v>
      </c>
      <c r="D186" s="9" t="s">
        <v>219</v>
      </c>
      <c r="E186" s="9" t="s">
        <v>221</v>
      </c>
      <c r="F186" s="8">
        <v>0.1875</v>
      </c>
      <c r="G186" s="8">
        <v>0.3125</v>
      </c>
      <c r="H186" s="8">
        <v>0.1875</v>
      </c>
      <c r="I186" s="8">
        <v>-15.256488539781101</v>
      </c>
    </row>
    <row r="187" spans="1:9" ht="29" x14ac:dyDescent="0.35">
      <c r="A187" s="7" t="s">
        <v>222</v>
      </c>
      <c r="B187" s="8" t="s">
        <v>10</v>
      </c>
      <c r="C187" s="9" t="s">
        <v>223</v>
      </c>
      <c r="D187" s="9" t="s">
        <v>224</v>
      </c>
      <c r="E187" s="9"/>
      <c r="F187" s="8">
        <v>0.5</v>
      </c>
      <c r="G187" s="8">
        <v>1</v>
      </c>
      <c r="H187" s="8">
        <v>1</v>
      </c>
      <c r="I187" s="8">
        <v>-15.7788770005834</v>
      </c>
    </row>
    <row r="188" spans="1:9" ht="29" x14ac:dyDescent="0.35">
      <c r="A188" s="7" t="s">
        <v>222</v>
      </c>
      <c r="B188" s="8" t="s">
        <v>13</v>
      </c>
      <c r="C188" s="9" t="s">
        <v>223</v>
      </c>
      <c r="D188" s="9" t="s">
        <v>224</v>
      </c>
      <c r="E188" s="9" t="s">
        <v>224</v>
      </c>
      <c r="F188" s="8">
        <v>0.5</v>
      </c>
      <c r="G188" s="8">
        <v>0.5</v>
      </c>
      <c r="H188" s="8">
        <v>0</v>
      </c>
      <c r="I188" s="8">
        <v>-11.5584304870781</v>
      </c>
    </row>
    <row r="189" spans="1:9" ht="29" x14ac:dyDescent="0.35">
      <c r="A189" s="7" t="s">
        <v>222</v>
      </c>
      <c r="B189" s="8" t="s">
        <v>15</v>
      </c>
      <c r="C189" s="9" t="s">
        <v>223</v>
      </c>
      <c r="D189" s="9" t="s">
        <v>224</v>
      </c>
      <c r="E189" s="9" t="s">
        <v>224</v>
      </c>
      <c r="F189" s="8">
        <v>0.5</v>
      </c>
      <c r="G189" s="8">
        <v>0.5</v>
      </c>
      <c r="H189" s="8">
        <v>0</v>
      </c>
      <c r="I189" s="8">
        <v>-11.559892356812099</v>
      </c>
    </row>
    <row r="190" spans="1:9" ht="29" x14ac:dyDescent="0.35">
      <c r="A190" s="7" t="s">
        <v>222</v>
      </c>
      <c r="B190" s="8" t="s">
        <v>17</v>
      </c>
      <c r="C190" s="9" t="s">
        <v>223</v>
      </c>
      <c r="D190" s="9" t="s">
        <v>224</v>
      </c>
      <c r="E190" s="9" t="s">
        <v>225</v>
      </c>
      <c r="F190" s="8">
        <v>0.5</v>
      </c>
      <c r="G190" s="8">
        <v>0.25</v>
      </c>
      <c r="H190" s="8">
        <v>0.25</v>
      </c>
      <c r="I190" s="8">
        <v>-6.03557694492455</v>
      </c>
    </row>
    <row r="191" spans="1:9" ht="29" x14ac:dyDescent="0.35">
      <c r="A191" s="7" t="s">
        <v>222</v>
      </c>
      <c r="B191" s="8" t="s">
        <v>19</v>
      </c>
      <c r="C191" s="9" t="s">
        <v>223</v>
      </c>
      <c r="D191" s="9" t="s">
        <v>224</v>
      </c>
      <c r="E191" s="9"/>
      <c r="F191" s="8">
        <v>0.5</v>
      </c>
      <c r="G191" s="8">
        <v>1</v>
      </c>
      <c r="H191" s="8">
        <v>1</v>
      </c>
      <c r="I191" s="8">
        <v>-11.8866901939114</v>
      </c>
    </row>
    <row r="192" spans="1:9" ht="72.5" x14ac:dyDescent="0.35">
      <c r="A192" s="7" t="s">
        <v>226</v>
      </c>
      <c r="B192" s="8" t="s">
        <v>10</v>
      </c>
      <c r="C192" s="9" t="s">
        <v>227</v>
      </c>
      <c r="D192" s="9" t="s">
        <v>228</v>
      </c>
      <c r="E192" s="9"/>
      <c r="F192" s="8">
        <v>0.22222222222222199</v>
      </c>
      <c r="G192" s="8">
        <v>1</v>
      </c>
      <c r="H192" s="8">
        <v>1</v>
      </c>
      <c r="I192" s="8">
        <v>-16.2335803439525</v>
      </c>
    </row>
    <row r="193" spans="1:9" ht="72.5" x14ac:dyDescent="0.35">
      <c r="A193" s="7" t="s">
        <v>226</v>
      </c>
      <c r="B193" s="8" t="s">
        <v>13</v>
      </c>
      <c r="C193" s="9" t="s">
        <v>227</v>
      </c>
      <c r="D193" s="9" t="s">
        <v>228</v>
      </c>
      <c r="E193" s="9" t="s">
        <v>228</v>
      </c>
      <c r="F193" s="8">
        <v>0.22222222222222199</v>
      </c>
      <c r="G193" s="8">
        <v>0.22222222222222199</v>
      </c>
      <c r="H193" s="8">
        <v>0</v>
      </c>
      <c r="I193" s="8">
        <v>-12.0180745229279</v>
      </c>
    </row>
    <row r="194" spans="1:9" ht="72.5" x14ac:dyDescent="0.35">
      <c r="A194" s="7" t="s">
        <v>226</v>
      </c>
      <c r="B194" s="8" t="s">
        <v>15</v>
      </c>
      <c r="C194" s="9" t="s">
        <v>227</v>
      </c>
      <c r="D194" s="9" t="s">
        <v>228</v>
      </c>
      <c r="E194" s="9" t="s">
        <v>228</v>
      </c>
      <c r="F194" s="8">
        <v>0.22222222222222199</v>
      </c>
      <c r="G194" s="8">
        <v>0.22222222222222199</v>
      </c>
      <c r="H194" s="8">
        <v>0</v>
      </c>
      <c r="I194" s="8">
        <v>-12.0178599512352</v>
      </c>
    </row>
    <row r="195" spans="1:9" ht="72.5" x14ac:dyDescent="0.35">
      <c r="A195" s="7" t="s">
        <v>226</v>
      </c>
      <c r="B195" s="8" t="s">
        <v>17</v>
      </c>
      <c r="C195" s="9" t="s">
        <v>227</v>
      </c>
      <c r="D195" s="9" t="s">
        <v>228</v>
      </c>
      <c r="E195" s="9" t="s">
        <v>228</v>
      </c>
      <c r="F195" s="8">
        <v>0.22222222222222199</v>
      </c>
      <c r="G195" s="8">
        <v>0.22222222222222199</v>
      </c>
      <c r="H195" s="8">
        <v>0</v>
      </c>
      <c r="I195" s="8">
        <v>-6.3982293413836899</v>
      </c>
    </row>
    <row r="196" spans="1:9" ht="72.5" x14ac:dyDescent="0.35">
      <c r="A196" s="7" t="s">
        <v>226</v>
      </c>
      <c r="B196" s="8" t="s">
        <v>19</v>
      </c>
      <c r="C196" s="9" t="s">
        <v>227</v>
      </c>
      <c r="D196" s="9" t="s">
        <v>228</v>
      </c>
      <c r="E196" s="9" t="s">
        <v>229</v>
      </c>
      <c r="F196" s="8">
        <v>0.22222222222222199</v>
      </c>
      <c r="G196" s="8">
        <v>0.11111111111111099</v>
      </c>
      <c r="H196" s="8">
        <v>0.11111111111111099</v>
      </c>
      <c r="I196" s="8">
        <v>-12.3505592131432</v>
      </c>
    </row>
    <row r="197" spans="1:9" ht="72.5" x14ac:dyDescent="0.35">
      <c r="A197" s="7" t="s">
        <v>230</v>
      </c>
      <c r="B197" s="8" t="s">
        <v>10</v>
      </c>
      <c r="C197" s="9" t="s">
        <v>231</v>
      </c>
      <c r="D197" s="9" t="s">
        <v>232</v>
      </c>
      <c r="E197" s="9"/>
      <c r="F197" s="8">
        <v>0.77777777777777701</v>
      </c>
      <c r="G197" s="8">
        <v>1</v>
      </c>
      <c r="H197" s="8">
        <v>1</v>
      </c>
      <c r="I197" s="8">
        <v>-17.888297431515799</v>
      </c>
    </row>
    <row r="198" spans="1:9" ht="72.5" x14ac:dyDescent="0.35">
      <c r="A198" s="7" t="s">
        <v>230</v>
      </c>
      <c r="B198" s="8" t="s">
        <v>13</v>
      </c>
      <c r="C198" s="9" t="s">
        <v>231</v>
      </c>
      <c r="D198" s="9" t="s">
        <v>232</v>
      </c>
      <c r="E198" s="9" t="s">
        <v>233</v>
      </c>
      <c r="F198" s="8">
        <v>0.77777777777777701</v>
      </c>
      <c r="G198" s="8">
        <v>1.2222222222222201</v>
      </c>
      <c r="H198" s="8">
        <v>1</v>
      </c>
      <c r="I198" s="8">
        <v>-13.653408521983099</v>
      </c>
    </row>
    <row r="199" spans="1:9" ht="72.5" x14ac:dyDescent="0.35">
      <c r="A199" s="7" t="s">
        <v>230</v>
      </c>
      <c r="B199" s="8" t="s">
        <v>15</v>
      </c>
      <c r="C199" s="9" t="s">
        <v>231</v>
      </c>
      <c r="D199" s="9" t="s">
        <v>232</v>
      </c>
      <c r="E199" s="9" t="s">
        <v>234</v>
      </c>
      <c r="F199" s="8">
        <v>0.77777777777777701</v>
      </c>
      <c r="G199" s="8">
        <v>1</v>
      </c>
      <c r="H199" s="8">
        <v>0.63636363636363602</v>
      </c>
      <c r="I199" s="8">
        <v>-13.653127769434199</v>
      </c>
    </row>
    <row r="200" spans="1:9" ht="72.5" x14ac:dyDescent="0.35">
      <c r="A200" s="7" t="s">
        <v>230</v>
      </c>
      <c r="B200" s="8" t="s">
        <v>17</v>
      </c>
      <c r="C200" s="9" t="s">
        <v>231</v>
      </c>
      <c r="D200" s="9" t="s">
        <v>232</v>
      </c>
      <c r="E200" s="9" t="s">
        <v>235</v>
      </c>
      <c r="F200" s="8">
        <v>0.77777777777777701</v>
      </c>
      <c r="G200" s="8">
        <v>1</v>
      </c>
      <c r="H200" s="8">
        <v>0.63636363636363602</v>
      </c>
      <c r="I200" s="8">
        <v>-7.9222950191041397</v>
      </c>
    </row>
    <row r="201" spans="1:9" ht="72.5" x14ac:dyDescent="0.35">
      <c r="A201" s="7" t="s">
        <v>230</v>
      </c>
      <c r="B201" s="8" t="s">
        <v>19</v>
      </c>
      <c r="C201" s="9" t="s">
        <v>231</v>
      </c>
      <c r="D201" s="9" t="s">
        <v>232</v>
      </c>
      <c r="E201" s="9" t="s">
        <v>236</v>
      </c>
      <c r="F201" s="8">
        <v>0.77777777777777701</v>
      </c>
      <c r="G201" s="8">
        <v>0.77777777777777701</v>
      </c>
      <c r="H201" s="8">
        <v>0.72727272727272696</v>
      </c>
      <c r="I201" s="8">
        <v>-13.9811139278127</v>
      </c>
    </row>
    <row r="202" spans="1:9" ht="43.5" x14ac:dyDescent="0.35">
      <c r="A202" s="7" t="s">
        <v>237</v>
      </c>
      <c r="B202" s="8" t="s">
        <v>10</v>
      </c>
      <c r="C202" s="9" t="s">
        <v>238</v>
      </c>
      <c r="D202" s="9" t="s">
        <v>239</v>
      </c>
      <c r="E202" s="9"/>
      <c r="F202" s="8">
        <v>0.75</v>
      </c>
      <c r="G202" s="8">
        <v>1</v>
      </c>
      <c r="H202" s="8">
        <v>1</v>
      </c>
      <c r="I202" s="8">
        <v>-16.474109390797999</v>
      </c>
    </row>
    <row r="203" spans="1:9" ht="43.5" x14ac:dyDescent="0.35">
      <c r="A203" s="7" t="s">
        <v>237</v>
      </c>
      <c r="B203" s="8" t="s">
        <v>13</v>
      </c>
      <c r="C203" s="9" t="s">
        <v>238</v>
      </c>
      <c r="D203" s="9" t="s">
        <v>239</v>
      </c>
      <c r="E203" s="9" t="s">
        <v>240</v>
      </c>
      <c r="F203" s="8">
        <v>0.75</v>
      </c>
      <c r="G203" s="8">
        <v>0.625</v>
      </c>
      <c r="H203" s="8">
        <v>0.11111111111111099</v>
      </c>
      <c r="I203" s="8">
        <v>-12.2528901503351</v>
      </c>
    </row>
    <row r="204" spans="1:9" ht="58" x14ac:dyDescent="0.35">
      <c r="A204" s="7" t="s">
        <v>237</v>
      </c>
      <c r="B204" s="8" t="s">
        <v>15</v>
      </c>
      <c r="C204" s="9" t="s">
        <v>238</v>
      </c>
      <c r="D204" s="9" t="s">
        <v>239</v>
      </c>
      <c r="E204" s="9" t="s">
        <v>241</v>
      </c>
      <c r="F204" s="8">
        <v>0.75</v>
      </c>
      <c r="G204" s="8">
        <v>0.875</v>
      </c>
      <c r="H204" s="8">
        <v>0.77777777777777701</v>
      </c>
      <c r="I204" s="8">
        <v>-12.251785405398699</v>
      </c>
    </row>
    <row r="205" spans="1:9" ht="43.5" x14ac:dyDescent="0.35">
      <c r="A205" s="7" t="s">
        <v>237</v>
      </c>
      <c r="B205" s="8" t="s">
        <v>17</v>
      </c>
      <c r="C205" s="9" t="s">
        <v>238</v>
      </c>
      <c r="D205" s="9" t="s">
        <v>239</v>
      </c>
      <c r="E205" s="9" t="s">
        <v>242</v>
      </c>
      <c r="F205" s="8">
        <v>0.75</v>
      </c>
      <c r="G205" s="8">
        <v>1</v>
      </c>
      <c r="H205" s="8">
        <v>1</v>
      </c>
      <c r="I205" s="8">
        <v>-6.5072515909314097</v>
      </c>
    </row>
    <row r="206" spans="1:9" ht="58" x14ac:dyDescent="0.35">
      <c r="A206" s="7" t="s">
        <v>237</v>
      </c>
      <c r="B206" s="8" t="s">
        <v>19</v>
      </c>
      <c r="C206" s="9" t="s">
        <v>238</v>
      </c>
      <c r="D206" s="9" t="s">
        <v>239</v>
      </c>
      <c r="E206" s="9" t="s">
        <v>243</v>
      </c>
      <c r="F206" s="8">
        <v>0.75</v>
      </c>
      <c r="G206" s="8">
        <v>0.875</v>
      </c>
      <c r="H206" s="8">
        <v>0.55555555555555503</v>
      </c>
      <c r="I206" s="8">
        <v>-12.5817307917732</v>
      </c>
    </row>
    <row r="207" spans="1:9" ht="29" x14ac:dyDescent="0.35">
      <c r="A207" s="7" t="s">
        <v>244</v>
      </c>
      <c r="B207" s="8" t="s">
        <v>10</v>
      </c>
      <c r="C207" s="9" t="s">
        <v>245</v>
      </c>
      <c r="D207" s="9" t="s">
        <v>246</v>
      </c>
      <c r="E207" s="9"/>
      <c r="F207" s="8">
        <v>0.16666666666666599</v>
      </c>
      <c r="G207" s="8">
        <v>1</v>
      </c>
      <c r="H207" s="8">
        <v>1</v>
      </c>
      <c r="I207" s="8">
        <v>-15.736947821168499</v>
      </c>
    </row>
    <row r="208" spans="1:9" ht="29" x14ac:dyDescent="0.35">
      <c r="A208" s="7" t="s">
        <v>244</v>
      </c>
      <c r="B208" s="8" t="s">
        <v>13</v>
      </c>
      <c r="C208" s="9" t="s">
        <v>245</v>
      </c>
      <c r="D208" s="9" t="s">
        <v>246</v>
      </c>
      <c r="E208" s="9" t="s">
        <v>246</v>
      </c>
      <c r="F208" s="8">
        <v>0.16666666666666599</v>
      </c>
      <c r="G208" s="8">
        <v>0.16666666666666599</v>
      </c>
      <c r="H208" s="8">
        <v>0</v>
      </c>
      <c r="I208" s="8">
        <v>-11.507397891570101</v>
      </c>
    </row>
    <row r="209" spans="1:9" ht="29" x14ac:dyDescent="0.35">
      <c r="A209" s="7" t="s">
        <v>244</v>
      </c>
      <c r="B209" s="8" t="s">
        <v>15</v>
      </c>
      <c r="C209" s="9" t="s">
        <v>245</v>
      </c>
      <c r="D209" s="9" t="s">
        <v>246</v>
      </c>
      <c r="E209" s="9" t="s">
        <v>246</v>
      </c>
      <c r="F209" s="8">
        <v>0.16666666666666599</v>
      </c>
      <c r="G209" s="8">
        <v>0.16666666666666599</v>
      </c>
      <c r="H209" s="8">
        <v>0</v>
      </c>
      <c r="I209" s="8">
        <v>-11.506725248952201</v>
      </c>
    </row>
    <row r="210" spans="1:9" ht="29" x14ac:dyDescent="0.35">
      <c r="A210" s="7" t="s">
        <v>244</v>
      </c>
      <c r="B210" s="8" t="s">
        <v>17</v>
      </c>
      <c r="C210" s="9" t="s">
        <v>245</v>
      </c>
      <c r="D210" s="9" t="s">
        <v>246</v>
      </c>
      <c r="E210" s="9" t="s">
        <v>246</v>
      </c>
      <c r="F210" s="8">
        <v>0.16666666666666599</v>
      </c>
      <c r="G210" s="8">
        <v>0.16666666666666599</v>
      </c>
      <c r="H210" s="8">
        <v>0</v>
      </c>
      <c r="I210" s="8">
        <v>-6.0154900365046604</v>
      </c>
    </row>
    <row r="211" spans="1:9" ht="29" x14ac:dyDescent="0.35">
      <c r="A211" s="7" t="s">
        <v>244</v>
      </c>
      <c r="B211" s="8" t="s">
        <v>19</v>
      </c>
      <c r="C211" s="9" t="s">
        <v>245</v>
      </c>
      <c r="D211" s="9" t="s">
        <v>246</v>
      </c>
      <c r="E211" s="9" t="s">
        <v>246</v>
      </c>
      <c r="F211" s="8">
        <v>0.16666666666666599</v>
      </c>
      <c r="G211" s="8">
        <v>0.16666666666666599</v>
      </c>
      <c r="H211" s="8">
        <v>0</v>
      </c>
      <c r="I211" s="8">
        <v>-11.8301917061472</v>
      </c>
    </row>
    <row r="212" spans="1:9" ht="58" x14ac:dyDescent="0.35">
      <c r="A212" s="7" t="s">
        <v>247</v>
      </c>
      <c r="B212" s="8" t="s">
        <v>10</v>
      </c>
      <c r="C212" s="9" t="s">
        <v>248</v>
      </c>
      <c r="D212" s="9" t="s">
        <v>249</v>
      </c>
      <c r="E212" s="9"/>
      <c r="F212" s="8">
        <v>0.16666666666666599</v>
      </c>
      <c r="G212" s="8">
        <v>1</v>
      </c>
      <c r="H212" s="8">
        <v>1</v>
      </c>
      <c r="I212" s="8">
        <v>-15.8340515824384</v>
      </c>
    </row>
    <row r="213" spans="1:9" ht="58" x14ac:dyDescent="0.35">
      <c r="A213" s="7" t="s">
        <v>247</v>
      </c>
      <c r="B213" s="8" t="s">
        <v>13</v>
      </c>
      <c r="C213" s="9" t="s">
        <v>248</v>
      </c>
      <c r="D213" s="9" t="s">
        <v>249</v>
      </c>
      <c r="E213" s="9" t="s">
        <v>250</v>
      </c>
      <c r="F213" s="8">
        <v>0.16666666666666599</v>
      </c>
      <c r="G213" s="8">
        <v>0.16666666666666599</v>
      </c>
      <c r="H213" s="8">
        <v>0.16666666666666599</v>
      </c>
      <c r="I213" s="8">
        <v>-11.6360314737674</v>
      </c>
    </row>
    <row r="214" spans="1:9" ht="58" x14ac:dyDescent="0.35">
      <c r="A214" s="7" t="s">
        <v>247</v>
      </c>
      <c r="B214" s="8" t="s">
        <v>15</v>
      </c>
      <c r="C214" s="9" t="s">
        <v>248</v>
      </c>
      <c r="D214" s="9" t="s">
        <v>249</v>
      </c>
      <c r="E214" s="9" t="s">
        <v>251</v>
      </c>
      <c r="F214" s="8">
        <v>0.16666666666666599</v>
      </c>
      <c r="G214" s="8">
        <v>0.33333333333333298</v>
      </c>
      <c r="H214" s="8">
        <v>0.16666666666666599</v>
      </c>
      <c r="I214" s="8">
        <v>-11.6363333038188</v>
      </c>
    </row>
    <row r="215" spans="1:9" ht="58" x14ac:dyDescent="0.35">
      <c r="A215" s="7" t="s">
        <v>247</v>
      </c>
      <c r="B215" s="8" t="s">
        <v>17</v>
      </c>
      <c r="C215" s="9" t="s">
        <v>248</v>
      </c>
      <c r="D215" s="9" t="s">
        <v>249</v>
      </c>
      <c r="E215" s="9" t="s">
        <v>249</v>
      </c>
      <c r="F215" s="8">
        <v>0.16666666666666599</v>
      </c>
      <c r="G215" s="8">
        <v>0.16666666666666599</v>
      </c>
      <c r="H215" s="8">
        <v>0</v>
      </c>
      <c r="I215" s="8">
        <v>-5.9877716287585896</v>
      </c>
    </row>
    <row r="216" spans="1:9" ht="217.5" x14ac:dyDescent="0.35">
      <c r="A216" s="7" t="s">
        <v>247</v>
      </c>
      <c r="B216" s="8" t="s">
        <v>19</v>
      </c>
      <c r="C216" s="9" t="s">
        <v>248</v>
      </c>
      <c r="D216" s="9" t="s">
        <v>249</v>
      </c>
      <c r="E216" s="9" t="s">
        <v>252</v>
      </c>
      <c r="F216" s="8">
        <v>0.16666666666666599</v>
      </c>
      <c r="G216" s="8">
        <v>4</v>
      </c>
      <c r="H216" s="8">
        <v>4</v>
      </c>
      <c r="I216" s="8">
        <v>-11.9651486119991</v>
      </c>
    </row>
    <row r="217" spans="1:9" ht="29" x14ac:dyDescent="0.35">
      <c r="A217" s="7" t="s">
        <v>253</v>
      </c>
      <c r="B217" s="8" t="s">
        <v>10</v>
      </c>
      <c r="C217" s="9" t="s">
        <v>254</v>
      </c>
      <c r="D217" s="9" t="s">
        <v>255</v>
      </c>
      <c r="E217" s="9"/>
      <c r="F217" s="8">
        <v>0.5</v>
      </c>
      <c r="G217" s="8">
        <v>1</v>
      </c>
      <c r="H217" s="8">
        <v>1</v>
      </c>
      <c r="I217" s="8">
        <v>-13.773231939787699</v>
      </c>
    </row>
    <row r="218" spans="1:9" ht="29" x14ac:dyDescent="0.35">
      <c r="A218" s="7" t="s">
        <v>253</v>
      </c>
      <c r="B218" s="8" t="s">
        <v>13</v>
      </c>
      <c r="C218" s="9" t="s">
        <v>254</v>
      </c>
      <c r="D218" s="9" t="s">
        <v>255</v>
      </c>
      <c r="E218" s="9" t="s">
        <v>256</v>
      </c>
      <c r="F218" s="8">
        <v>0.5</v>
      </c>
      <c r="G218" s="8">
        <v>0.375</v>
      </c>
      <c r="H218" s="8">
        <v>0.28571428571428498</v>
      </c>
      <c r="I218" s="8">
        <v>-9.5731840500775895</v>
      </c>
    </row>
    <row r="219" spans="1:9" ht="29" x14ac:dyDescent="0.35">
      <c r="A219" s="7" t="s">
        <v>253</v>
      </c>
      <c r="B219" s="8" t="s">
        <v>15</v>
      </c>
      <c r="C219" s="9" t="s">
        <v>254</v>
      </c>
      <c r="D219" s="9" t="s">
        <v>255</v>
      </c>
      <c r="E219" s="9" t="s">
        <v>257</v>
      </c>
      <c r="F219" s="8">
        <v>0.5</v>
      </c>
      <c r="G219" s="8">
        <v>0.5</v>
      </c>
      <c r="H219" s="8">
        <v>0.14285714285714199</v>
      </c>
      <c r="I219" s="8">
        <v>-9.5734681234158696</v>
      </c>
    </row>
    <row r="220" spans="1:9" ht="29" x14ac:dyDescent="0.35">
      <c r="A220" s="7" t="s">
        <v>253</v>
      </c>
      <c r="B220" s="8" t="s">
        <v>17</v>
      </c>
      <c r="C220" s="9" t="s">
        <v>254</v>
      </c>
      <c r="D220" s="9" t="s">
        <v>255</v>
      </c>
      <c r="E220" s="9" t="s">
        <v>256</v>
      </c>
      <c r="F220" s="8">
        <v>0.5</v>
      </c>
      <c r="G220" s="8">
        <v>0.375</v>
      </c>
      <c r="H220" s="8">
        <v>0.28571428571428498</v>
      </c>
      <c r="I220" s="8">
        <v>-3.9135159892332401</v>
      </c>
    </row>
    <row r="221" spans="1:9" ht="29" x14ac:dyDescent="0.35">
      <c r="A221" s="7" t="s">
        <v>253</v>
      </c>
      <c r="B221" s="8" t="s">
        <v>19</v>
      </c>
      <c r="C221" s="9" t="s">
        <v>254</v>
      </c>
      <c r="D221" s="9" t="s">
        <v>255</v>
      </c>
      <c r="E221" s="9" t="s">
        <v>258</v>
      </c>
      <c r="F221" s="8">
        <v>0.5</v>
      </c>
      <c r="G221" s="8">
        <v>1</v>
      </c>
      <c r="H221" s="8">
        <v>1</v>
      </c>
      <c r="I221" s="8">
        <v>-9.8908764091557</v>
      </c>
    </row>
    <row r="222" spans="1:9" ht="333.5" x14ac:dyDescent="0.35">
      <c r="A222" s="7" t="s">
        <v>259</v>
      </c>
      <c r="B222" s="8" t="s">
        <v>10</v>
      </c>
      <c r="C222" s="9" t="s">
        <v>260</v>
      </c>
      <c r="D222" s="9" t="s">
        <v>261</v>
      </c>
      <c r="E222" s="9"/>
      <c r="F222" s="8">
        <v>3.5</v>
      </c>
      <c r="G222" s="8">
        <v>1</v>
      </c>
      <c r="H222" s="8">
        <v>1</v>
      </c>
      <c r="I222" s="8">
        <v>-23.849902371362202</v>
      </c>
    </row>
    <row r="223" spans="1:9" ht="333.5" x14ac:dyDescent="0.35">
      <c r="A223" s="7" t="s">
        <v>259</v>
      </c>
      <c r="B223" s="8" t="s">
        <v>13</v>
      </c>
      <c r="C223" s="9" t="s">
        <v>260</v>
      </c>
      <c r="D223" s="9" t="s">
        <v>261</v>
      </c>
      <c r="E223" s="9" t="s">
        <v>262</v>
      </c>
      <c r="F223" s="8">
        <v>3.5</v>
      </c>
      <c r="G223" s="8">
        <v>0.64285714285714202</v>
      </c>
      <c r="H223" s="8">
        <v>0.98039215686274495</v>
      </c>
      <c r="I223" s="8">
        <v>-19.6065251098799</v>
      </c>
    </row>
    <row r="224" spans="1:9" ht="333.5" x14ac:dyDescent="0.35">
      <c r="A224" s="7" t="s">
        <v>259</v>
      </c>
      <c r="B224" s="8" t="s">
        <v>15</v>
      </c>
      <c r="C224" s="9" t="s">
        <v>260</v>
      </c>
      <c r="D224" s="9" t="s">
        <v>261</v>
      </c>
      <c r="E224" s="9" t="s">
        <v>263</v>
      </c>
      <c r="F224" s="8">
        <v>3.5</v>
      </c>
      <c r="G224" s="8">
        <v>1</v>
      </c>
      <c r="H224" s="8">
        <v>1</v>
      </c>
      <c r="I224" s="8">
        <v>-19.606548613367998</v>
      </c>
    </row>
    <row r="225" spans="1:9" ht="333.5" x14ac:dyDescent="0.35">
      <c r="A225" s="10" t="s">
        <v>259</v>
      </c>
      <c r="B225" s="11" t="s">
        <v>17</v>
      </c>
      <c r="C225" s="12" t="s">
        <v>260</v>
      </c>
      <c r="D225" s="12" t="s">
        <v>261</v>
      </c>
      <c r="E225" s="12" t="s">
        <v>264</v>
      </c>
      <c r="F225" s="11">
        <v>3.5</v>
      </c>
      <c r="G225" s="11">
        <v>0.42857142857142799</v>
      </c>
      <c r="H225" s="11">
        <v>0.96078431372549</v>
      </c>
      <c r="I225" s="11">
        <v>-14.019025464529101</v>
      </c>
    </row>
    <row r="226" spans="1:9" ht="333.5" x14ac:dyDescent="0.35">
      <c r="A226" s="7" t="s">
        <v>259</v>
      </c>
      <c r="B226" s="8" t="s">
        <v>19</v>
      </c>
      <c r="C226" s="9" t="s">
        <v>260</v>
      </c>
      <c r="D226" s="9" t="s">
        <v>261</v>
      </c>
      <c r="E226" s="9" t="s">
        <v>265</v>
      </c>
      <c r="F226" s="8">
        <v>3.5</v>
      </c>
      <c r="G226" s="8">
        <v>1.3571428571428501</v>
      </c>
      <c r="H226" s="8">
        <v>0.92156862745098</v>
      </c>
      <c r="I226" s="8">
        <v>-19.859910545793898</v>
      </c>
    </row>
    <row r="227" spans="1:9" ht="87" x14ac:dyDescent="0.35">
      <c r="A227" s="7" t="s">
        <v>266</v>
      </c>
      <c r="B227" s="8" t="s">
        <v>10</v>
      </c>
      <c r="C227" s="9" t="s">
        <v>267</v>
      </c>
      <c r="D227" s="9" t="s">
        <v>268</v>
      </c>
      <c r="E227" s="9"/>
      <c r="F227" s="8">
        <v>0.11111111111111099</v>
      </c>
      <c r="G227" s="8">
        <v>1</v>
      </c>
      <c r="H227" s="8">
        <v>1</v>
      </c>
      <c r="I227" s="8">
        <v>-11.0299675497258</v>
      </c>
    </row>
    <row r="228" spans="1:9" ht="101.5" x14ac:dyDescent="0.35">
      <c r="A228" s="7" t="s">
        <v>266</v>
      </c>
      <c r="B228" s="8" t="s">
        <v>13</v>
      </c>
      <c r="C228" s="9" t="s">
        <v>267</v>
      </c>
      <c r="D228" s="9" t="s">
        <v>268</v>
      </c>
      <c r="E228" s="9" t="s">
        <v>269</v>
      </c>
      <c r="F228" s="8">
        <v>0.11111111111111099</v>
      </c>
      <c r="G228" s="8">
        <v>0.27777777777777701</v>
      </c>
      <c r="H228" s="8">
        <v>0.16666666666666599</v>
      </c>
      <c r="I228" s="8">
        <v>-6.9091095033419601</v>
      </c>
    </row>
    <row r="229" spans="1:9" ht="101.5" x14ac:dyDescent="0.35">
      <c r="A229" s="7" t="s">
        <v>266</v>
      </c>
      <c r="B229" s="8" t="s">
        <v>15</v>
      </c>
      <c r="C229" s="9" t="s">
        <v>267</v>
      </c>
      <c r="D229" s="9" t="s">
        <v>268</v>
      </c>
      <c r="E229" s="9" t="s">
        <v>270</v>
      </c>
      <c r="F229" s="8">
        <v>0.11111111111111099</v>
      </c>
      <c r="G229" s="8">
        <v>0.27777777777777701</v>
      </c>
      <c r="H229" s="8">
        <v>0.22222222222222199</v>
      </c>
      <c r="I229" s="8">
        <v>-6.9101474187241196</v>
      </c>
    </row>
    <row r="230" spans="1:9" ht="101.5" x14ac:dyDescent="0.35">
      <c r="A230" s="7" t="s">
        <v>266</v>
      </c>
      <c r="B230" s="8" t="s">
        <v>17</v>
      </c>
      <c r="C230" s="9" t="s">
        <v>267</v>
      </c>
      <c r="D230" s="9" t="s">
        <v>268</v>
      </c>
      <c r="E230" s="9" t="s">
        <v>271</v>
      </c>
      <c r="F230" s="8">
        <v>0.11111111111111099</v>
      </c>
      <c r="G230" s="8">
        <v>0.11111111111111099</v>
      </c>
      <c r="H230" s="8">
        <v>0.16666666666666599</v>
      </c>
      <c r="I230" s="8">
        <v>-1.1706837242406101</v>
      </c>
    </row>
    <row r="231" spans="1:9" ht="87" x14ac:dyDescent="0.35">
      <c r="A231" s="7" t="s">
        <v>266</v>
      </c>
      <c r="B231" s="8" t="s">
        <v>19</v>
      </c>
      <c r="C231" s="9" t="s">
        <v>267</v>
      </c>
      <c r="D231" s="9" t="s">
        <v>268</v>
      </c>
      <c r="E231" s="9" t="s">
        <v>272</v>
      </c>
      <c r="F231" s="8">
        <v>0.11111111111111099</v>
      </c>
      <c r="G231" s="8">
        <v>0.44444444444444398</v>
      </c>
      <c r="H231" s="8">
        <v>0.38888888888888801</v>
      </c>
      <c r="I231" s="8">
        <v>-7.2162178708637104</v>
      </c>
    </row>
    <row r="232" spans="1:9" ht="29" x14ac:dyDescent="0.35">
      <c r="A232" s="7" t="s">
        <v>273</v>
      </c>
      <c r="B232" s="8" t="s">
        <v>10</v>
      </c>
      <c r="C232" s="9" t="s">
        <v>274</v>
      </c>
      <c r="D232" s="9" t="s">
        <v>275</v>
      </c>
      <c r="E232" s="9"/>
      <c r="F232" s="8">
        <v>0.25</v>
      </c>
      <c r="G232" s="8">
        <v>1</v>
      </c>
      <c r="H232" s="8">
        <v>1</v>
      </c>
      <c r="I232" s="8">
        <v>-9.4797608671316507</v>
      </c>
    </row>
    <row r="233" spans="1:9" ht="29" x14ac:dyDescent="0.35">
      <c r="A233" s="7" t="s">
        <v>273</v>
      </c>
      <c r="B233" s="8" t="s">
        <v>13</v>
      </c>
      <c r="C233" s="9" t="s">
        <v>274</v>
      </c>
      <c r="D233" s="9" t="s">
        <v>275</v>
      </c>
      <c r="E233" s="9" t="s">
        <v>275</v>
      </c>
      <c r="F233" s="8">
        <v>0.25</v>
      </c>
      <c r="G233" s="8">
        <v>0.25</v>
      </c>
      <c r="H233" s="8">
        <v>0</v>
      </c>
      <c r="I233" s="8">
        <v>-5.3735736424468996</v>
      </c>
    </row>
    <row r="234" spans="1:9" ht="29" x14ac:dyDescent="0.35">
      <c r="A234" s="7" t="s">
        <v>273</v>
      </c>
      <c r="B234" s="8" t="s">
        <v>15</v>
      </c>
      <c r="C234" s="9" t="s">
        <v>274</v>
      </c>
      <c r="D234" s="9" t="s">
        <v>275</v>
      </c>
      <c r="E234" s="9" t="s">
        <v>275</v>
      </c>
      <c r="F234" s="8">
        <v>0.25</v>
      </c>
      <c r="G234" s="8">
        <v>0.25</v>
      </c>
      <c r="H234" s="8">
        <v>0</v>
      </c>
      <c r="I234" s="8">
        <v>-5.3775955824639396</v>
      </c>
    </row>
    <row r="235" spans="1:9" ht="29" x14ac:dyDescent="0.35">
      <c r="A235" s="7" t="s">
        <v>273</v>
      </c>
      <c r="B235" s="8" t="s">
        <v>17</v>
      </c>
      <c r="C235" s="9" t="s">
        <v>274</v>
      </c>
      <c r="D235" s="9" t="s">
        <v>275</v>
      </c>
      <c r="E235" s="9" t="s">
        <v>274</v>
      </c>
      <c r="F235" s="8">
        <v>0.25</v>
      </c>
      <c r="G235" s="8">
        <v>0</v>
      </c>
      <c r="H235" s="8">
        <v>0.25</v>
      </c>
      <c r="I235" s="8">
        <v>-0.112504535490865</v>
      </c>
    </row>
    <row r="236" spans="1:9" ht="29" x14ac:dyDescent="0.35">
      <c r="A236" s="7" t="s">
        <v>273</v>
      </c>
      <c r="B236" s="8" t="s">
        <v>19</v>
      </c>
      <c r="C236" s="9" t="s">
        <v>274</v>
      </c>
      <c r="D236" s="9" t="s">
        <v>275</v>
      </c>
      <c r="E236" s="9" t="s">
        <v>276</v>
      </c>
      <c r="F236" s="8">
        <v>0.25</v>
      </c>
      <c r="G236" s="8">
        <v>0.5</v>
      </c>
      <c r="H236" s="8">
        <v>0.25</v>
      </c>
      <c r="I236" s="8">
        <v>-5.6644704215818198</v>
      </c>
    </row>
    <row r="237" spans="1:9" ht="72.5" x14ac:dyDescent="0.35">
      <c r="A237" s="7" t="s">
        <v>277</v>
      </c>
      <c r="B237" s="8" t="s">
        <v>10</v>
      </c>
      <c r="C237" s="9" t="s">
        <v>278</v>
      </c>
      <c r="D237" s="9" t="s">
        <v>279</v>
      </c>
      <c r="E237" s="9"/>
      <c r="F237" s="8">
        <v>0.14285714285714199</v>
      </c>
      <c r="G237" s="8">
        <v>1</v>
      </c>
      <c r="H237" s="8">
        <v>1</v>
      </c>
      <c r="I237" s="8">
        <v>-17.170689965024799</v>
      </c>
    </row>
    <row r="238" spans="1:9" ht="87" x14ac:dyDescent="0.35">
      <c r="A238" s="7" t="s">
        <v>277</v>
      </c>
      <c r="B238" s="8" t="s">
        <v>13</v>
      </c>
      <c r="C238" s="9" t="s">
        <v>278</v>
      </c>
      <c r="D238" s="9" t="s">
        <v>279</v>
      </c>
      <c r="E238" s="9" t="s">
        <v>279</v>
      </c>
      <c r="F238" s="8">
        <v>0.14285714285714199</v>
      </c>
      <c r="G238" s="8">
        <v>0.14285714285714199</v>
      </c>
      <c r="H238" s="8">
        <v>0</v>
      </c>
      <c r="I238" s="8">
        <v>-12.951186233645901</v>
      </c>
    </row>
    <row r="239" spans="1:9" ht="87" x14ac:dyDescent="0.35">
      <c r="A239" s="7" t="s">
        <v>277</v>
      </c>
      <c r="B239" s="8" t="s">
        <v>15</v>
      </c>
      <c r="C239" s="9" t="s">
        <v>278</v>
      </c>
      <c r="D239" s="9" t="s">
        <v>279</v>
      </c>
      <c r="E239" s="9" t="s">
        <v>280</v>
      </c>
      <c r="F239" s="8">
        <v>0.14285714285714199</v>
      </c>
      <c r="G239" s="8">
        <v>0.71428571428571397</v>
      </c>
      <c r="H239" s="8">
        <v>0.57142857142857095</v>
      </c>
      <c r="I239" s="8">
        <v>-12.9511744494949</v>
      </c>
    </row>
    <row r="240" spans="1:9" ht="72.5" x14ac:dyDescent="0.35">
      <c r="A240" s="7" t="s">
        <v>277</v>
      </c>
      <c r="B240" s="8" t="s">
        <v>17</v>
      </c>
      <c r="C240" s="9" t="s">
        <v>278</v>
      </c>
      <c r="D240" s="9" t="s">
        <v>279</v>
      </c>
      <c r="E240" s="9"/>
      <c r="F240" s="8">
        <v>0.14285714285714199</v>
      </c>
      <c r="G240" s="8">
        <v>1</v>
      </c>
      <c r="H240" s="8">
        <v>1</v>
      </c>
      <c r="I240" s="8">
        <v>-7.3184116379183504</v>
      </c>
    </row>
    <row r="241" spans="1:9" ht="87" x14ac:dyDescent="0.35">
      <c r="A241" s="7" t="s">
        <v>277</v>
      </c>
      <c r="B241" s="8" t="s">
        <v>19</v>
      </c>
      <c r="C241" s="9" t="s">
        <v>278</v>
      </c>
      <c r="D241" s="9" t="s">
        <v>279</v>
      </c>
      <c r="E241" s="9" t="s">
        <v>281</v>
      </c>
      <c r="F241" s="8">
        <v>0.14285714285714199</v>
      </c>
      <c r="G241" s="8">
        <v>0.57142857142857095</v>
      </c>
      <c r="H241" s="8">
        <v>0.57142857142857095</v>
      </c>
      <c r="I241" s="8">
        <v>-13.2853527576472</v>
      </c>
    </row>
    <row r="242" spans="1:9" ht="72.5" x14ac:dyDescent="0.35">
      <c r="A242" s="7" t="s">
        <v>282</v>
      </c>
      <c r="B242" s="8" t="s">
        <v>10</v>
      </c>
      <c r="C242" s="9" t="s">
        <v>283</v>
      </c>
      <c r="D242" s="9" t="s">
        <v>284</v>
      </c>
      <c r="E242" s="9"/>
      <c r="F242" s="8">
        <v>0.14285714285714199</v>
      </c>
      <c r="G242" s="8">
        <v>1</v>
      </c>
      <c r="H242" s="8">
        <v>1</v>
      </c>
      <c r="I242" s="8">
        <v>-14.766216185917999</v>
      </c>
    </row>
    <row r="243" spans="1:9" ht="72.5" x14ac:dyDescent="0.35">
      <c r="A243" s="7" t="s">
        <v>282</v>
      </c>
      <c r="B243" s="8" t="s">
        <v>13</v>
      </c>
      <c r="C243" s="9" t="s">
        <v>283</v>
      </c>
      <c r="D243" s="9" t="s">
        <v>284</v>
      </c>
      <c r="E243" s="9" t="s">
        <v>285</v>
      </c>
      <c r="F243" s="8">
        <v>0.14285714285714199</v>
      </c>
      <c r="G243" s="8">
        <v>0.214285714285714</v>
      </c>
      <c r="H243" s="8">
        <v>7.1428571428571397E-2</v>
      </c>
      <c r="I243" s="8">
        <v>-10.5404050623117</v>
      </c>
    </row>
    <row r="244" spans="1:9" ht="72.5" x14ac:dyDescent="0.35">
      <c r="A244" s="7" t="s">
        <v>282</v>
      </c>
      <c r="B244" s="8" t="s">
        <v>15</v>
      </c>
      <c r="C244" s="9" t="s">
        <v>283</v>
      </c>
      <c r="D244" s="9" t="s">
        <v>284</v>
      </c>
      <c r="E244" s="9" t="s">
        <v>286</v>
      </c>
      <c r="F244" s="8">
        <v>0.14285714285714199</v>
      </c>
      <c r="G244" s="8">
        <v>0.214285714285714</v>
      </c>
      <c r="H244" s="8">
        <v>7.1428571428571397E-2</v>
      </c>
      <c r="I244" s="8">
        <v>-10.5408273606183</v>
      </c>
    </row>
    <row r="245" spans="1:9" ht="72.5" x14ac:dyDescent="0.35">
      <c r="A245" s="7" t="s">
        <v>282</v>
      </c>
      <c r="B245" s="8" t="s">
        <v>17</v>
      </c>
      <c r="C245" s="9" t="s">
        <v>283</v>
      </c>
      <c r="D245" s="9" t="s">
        <v>284</v>
      </c>
      <c r="E245" s="9" t="s">
        <v>287</v>
      </c>
      <c r="F245" s="8">
        <v>0.14285714285714199</v>
      </c>
      <c r="G245" s="8">
        <v>0.214285714285714</v>
      </c>
      <c r="H245" s="8">
        <v>7.1428571428571397E-2</v>
      </c>
      <c r="I245" s="8">
        <v>-4.8445427064167701</v>
      </c>
    </row>
    <row r="246" spans="1:9" ht="72.5" x14ac:dyDescent="0.35">
      <c r="A246" s="7" t="s">
        <v>282</v>
      </c>
      <c r="B246" s="8" t="s">
        <v>19</v>
      </c>
      <c r="C246" s="9" t="s">
        <v>283</v>
      </c>
      <c r="D246" s="9" t="s">
        <v>284</v>
      </c>
      <c r="E246" s="9" t="s">
        <v>288</v>
      </c>
      <c r="F246" s="8">
        <v>0.14285714285714199</v>
      </c>
      <c r="G246" s="8">
        <v>0.64285714285714202</v>
      </c>
      <c r="H246" s="8">
        <v>0.64285714285714202</v>
      </c>
      <c r="I246" s="8">
        <v>-10.865982075415699</v>
      </c>
    </row>
    <row r="247" spans="1:9" ht="29" x14ac:dyDescent="0.35">
      <c r="A247" s="7" t="s">
        <v>289</v>
      </c>
      <c r="B247" s="8" t="s">
        <v>10</v>
      </c>
      <c r="C247" s="9" t="s">
        <v>290</v>
      </c>
      <c r="D247" s="9" t="s">
        <v>291</v>
      </c>
      <c r="E247" s="9"/>
      <c r="F247" s="8">
        <v>0.6</v>
      </c>
      <c r="G247" s="8">
        <v>1</v>
      </c>
      <c r="H247" s="8">
        <v>1</v>
      </c>
      <c r="I247" s="8">
        <v>-13.012120935783599</v>
      </c>
    </row>
    <row r="248" spans="1:9" ht="29" x14ac:dyDescent="0.35">
      <c r="A248" s="7" t="s">
        <v>289</v>
      </c>
      <c r="B248" s="8" t="s">
        <v>13</v>
      </c>
      <c r="C248" s="9" t="s">
        <v>290</v>
      </c>
      <c r="D248" s="9" t="s">
        <v>291</v>
      </c>
      <c r="E248" s="9" t="s">
        <v>292</v>
      </c>
      <c r="F248" s="8">
        <v>0.6</v>
      </c>
      <c r="G248" s="8">
        <v>0.8</v>
      </c>
      <c r="H248" s="8">
        <v>0.75</v>
      </c>
      <c r="I248" s="8">
        <v>-8.8249428972915496</v>
      </c>
    </row>
    <row r="249" spans="1:9" ht="29" x14ac:dyDescent="0.35">
      <c r="A249" s="7" t="s">
        <v>289</v>
      </c>
      <c r="B249" s="8" t="s">
        <v>15</v>
      </c>
      <c r="C249" s="9" t="s">
        <v>290</v>
      </c>
      <c r="D249" s="9" t="s">
        <v>291</v>
      </c>
      <c r="E249" s="9" t="s">
        <v>293</v>
      </c>
      <c r="F249" s="8">
        <v>0.6</v>
      </c>
      <c r="G249" s="8">
        <v>0.4</v>
      </c>
      <c r="H249" s="8">
        <v>0.75</v>
      </c>
      <c r="I249" s="8">
        <v>-8.8211967258466597</v>
      </c>
    </row>
    <row r="250" spans="1:9" ht="29" x14ac:dyDescent="0.35">
      <c r="A250" s="7" t="s">
        <v>289</v>
      </c>
      <c r="B250" s="8" t="s">
        <v>17</v>
      </c>
      <c r="C250" s="9" t="s">
        <v>290</v>
      </c>
      <c r="D250" s="9" t="s">
        <v>291</v>
      </c>
      <c r="E250" s="9" t="s">
        <v>294</v>
      </c>
      <c r="F250" s="8">
        <v>0.6</v>
      </c>
      <c r="G250" s="8">
        <v>0.2</v>
      </c>
      <c r="H250" s="8">
        <v>0.75</v>
      </c>
      <c r="I250" s="8">
        <v>-3.5522126895393402</v>
      </c>
    </row>
    <row r="251" spans="1:9" ht="29" x14ac:dyDescent="0.35">
      <c r="A251" s="7" t="s">
        <v>289</v>
      </c>
      <c r="B251" s="8" t="s">
        <v>19</v>
      </c>
      <c r="C251" s="9" t="s">
        <v>290</v>
      </c>
      <c r="D251" s="9" t="s">
        <v>291</v>
      </c>
      <c r="E251" s="9" t="s">
        <v>295</v>
      </c>
      <c r="F251" s="8">
        <v>0.6</v>
      </c>
      <c r="G251" s="8">
        <v>0.8</v>
      </c>
      <c r="H251" s="8">
        <v>0.75</v>
      </c>
      <c r="I251" s="8">
        <v>-9.1378179431270308</v>
      </c>
    </row>
  </sheetData>
  <mergeCells count="3">
    <mergeCell ref="K1:Q1"/>
    <mergeCell ref="M9:Q9"/>
    <mergeCell ref="K11:Q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Theana Mansour</dc:creator>
  <cp:lastModifiedBy>Theana Mansour</cp:lastModifiedBy>
  <dcterms:created xsi:type="dcterms:W3CDTF">2015-06-05T18:17:20Z</dcterms:created>
  <dcterms:modified xsi:type="dcterms:W3CDTF">2025-11-27T19:06:27Z</dcterms:modified>
</cp:coreProperties>
</file>